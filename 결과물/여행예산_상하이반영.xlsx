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일정" sheetId="1" state="visible" r:id="rId1"/>
    <sheet xmlns:r="http://schemas.openxmlformats.org/officeDocument/2006/relationships" name="환율" sheetId="2" state="visible" r:id="rId2"/>
    <sheet xmlns:r="http://schemas.openxmlformats.org/officeDocument/2006/relationships" name="교통상세" sheetId="3" state="visible" r:id="rId3"/>
    <sheet xmlns:r="http://schemas.openxmlformats.org/officeDocument/2006/relationships" name="입장료" sheetId="4" state="visible" r:id="rId4"/>
    <sheet xmlns:r="http://schemas.openxmlformats.org/officeDocument/2006/relationships" name="일자별예산" sheetId="5" state="visible" r:id="rId5"/>
  </sheets>
  <definedNames>
    <definedName name="_xlnm._FilterDatabase" localSheetId="0" hidden="1">'일정'!$A$4:$G$257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3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Noto Sans CJK SC"/>
      <family val="2"/>
      <i val="1"/>
      <color rgb="FF595959"/>
      <sz val="9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charset val="1"/>
      <family val="2"/>
      <i val="1"/>
      <color rgb="FF595959"/>
      <sz val="9"/>
    </font>
    <font>
      <name val="Arial"/>
      <charset val="1"/>
      <family val="0"/>
      <b val="1"/>
      <sz val="10"/>
    </font>
    <font>
      <name val="Noto Sans CJK SC"/>
      <charset val="1"/>
      <family val="2"/>
      <color theme="1"/>
      <sz val="11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Noto Sans CJK SC"/>
      <charset val="1"/>
      <family val="2"/>
      <b val="1"/>
      <sz val="10"/>
    </font>
    <font>
      <name val="Arial"/>
      <charset val="1"/>
      <family val="0"/>
      <color rgb="FF008000"/>
      <sz val="10"/>
    </font>
    <font>
      <b val="1"/>
      <sz val="14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FF2F4F5F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CE6EC"/>
        <bgColor rgb="FFE7F0F7"/>
      </patternFill>
    </fill>
    <fill>
      <patternFill patternType="solid">
        <fgColor rgb="FFF7EBEA"/>
        <bgColor rgb="FFF5EFE6"/>
      </patternFill>
    </fill>
    <fill>
      <patternFill patternType="solid">
        <fgColor rgb="FFEAF0F3"/>
        <bgColor rgb="FFE7F0F7"/>
      </patternFill>
    </fill>
    <fill>
      <patternFill patternType="solid">
        <fgColor rgb="FFFBF0E4"/>
        <bgColor rgb="FFF5EFE6"/>
      </patternFill>
    </fill>
    <fill>
      <patternFill patternType="solid">
        <fgColor rgb="FFE7F0F7"/>
        <bgColor rgb="FFEAF0F3"/>
      </patternFill>
    </fill>
    <fill>
      <patternFill patternType="solid">
        <fgColor rgb="FFF5EFE6"/>
        <bgColor rgb="FFFBF0E4"/>
      </patternFill>
    </fill>
    <fill>
      <patternFill patternType="solid">
        <fgColor rgb="0042606E"/>
      </patternFill>
    </fill>
    <fill>
      <patternFill patternType="solid">
        <fgColor rgb="00EDF1F3"/>
      </patternFill>
    </fill>
    <fill>
      <patternFill patternType="solid">
        <fgColor rgb="00FAF0E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8DEE2"/>
      </left>
      <right style="thin">
        <color rgb="00D8DEE2"/>
      </right>
      <top style="thin">
        <color rgb="00D8DEE2"/>
      </top>
      <bottom style="thin">
        <color rgb="00D8DEE2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 wrapText="1"/>
    </xf>
    <xf numFmtId="0" fontId="15" fillId="2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center" vertical="bottom"/>
    </xf>
    <xf numFmtId="3" fontId="7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0" fontId="17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13" fillId="4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3" fontId="10" fillId="0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18" fillId="0" borderId="1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bottom"/>
    </xf>
    <xf numFmtId="0" fontId="19" fillId="0" borderId="0" pivotButton="0" quotePrefix="0" xfId="0"/>
    <xf numFmtId="0" fontId="0" fillId="0" borderId="0" applyAlignment="1" pivotButton="0" quotePrefix="0" xfId="0">
      <alignment vertical="top"/>
    </xf>
    <xf numFmtId="0" fontId="20" fillId="10" borderId="2" pivotButton="0" quotePrefix="0" xfId="0"/>
    <xf numFmtId="0" fontId="21" fillId="11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1" fillId="12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0E4"/>
      <rgbColor rgb="FFE7F0F7"/>
      <rgbColor rgb="FF660066"/>
      <rgbColor rgb="FFFF8080"/>
      <rgbColor rgb="FF0066CC"/>
      <rgbColor rgb="FFDCE6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3"/>
      <rgbColor rgb="FFF5EFE6"/>
      <rgbColor rgb="FFF7EB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5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38" min="1" max="1"/>
    <col width="5" customWidth="1" style="38" min="2" max="2"/>
    <col width="30" customWidth="1" style="38" min="3" max="3"/>
    <col width="7" customWidth="1" style="38" min="4" max="4"/>
    <col width="15" customWidth="1" style="38" min="5" max="5"/>
    <col width="54" customWidth="1" style="38" min="6" max="6"/>
    <col width="62" customWidth="1" style="38" min="7" max="7"/>
  </cols>
  <sheetData>
    <row r="1">
      <c r="A1" s="74" t="inlineStr">
        <is>
          <t>일정 — 날짜별 코스</t>
        </is>
      </c>
    </row>
    <row r="2">
      <c r="A2" s="75" t="inlineStr">
        <is>
          <t>일정 YAML 에서 그대로 생성한 시트입니다. HTML 문서와 같은 소스라 숫자·시각이 갈라지지 않습니다. 「이동」이 비어 있으면 걸어서 가는 구간이고, 「주의」 행은 그 날이 무너질 수 있는 지점입니다. 4행에 필터가 걸려 있으니 날짜나 이동수단으로 걸러 보세요.</t>
        </is>
      </c>
    </row>
    <row r="4">
      <c r="A4" s="76" t="inlineStr">
        <is>
          <t>날짜</t>
        </is>
      </c>
      <c r="B4" s="76" t="inlineStr">
        <is>
          <t>요일</t>
        </is>
      </c>
      <c r="C4" s="76" t="inlineStr">
        <is>
          <t>구간</t>
        </is>
      </c>
      <c r="D4" s="76" t="inlineStr">
        <is>
          <t>시각</t>
        </is>
      </c>
      <c r="E4" s="76" t="inlineStr">
        <is>
          <t>이동</t>
        </is>
      </c>
      <c r="F4" s="76" t="inlineStr">
        <is>
          <t>내용</t>
        </is>
      </c>
      <c r="G4" s="76" t="inlineStr">
        <is>
          <t>비고</t>
        </is>
      </c>
    </row>
    <row r="5">
      <c r="A5" s="77" t="inlineStr">
        <is>
          <t>9/19</t>
        </is>
      </c>
      <c r="B5" s="77" t="inlineStr">
        <is>
          <t>토</t>
        </is>
      </c>
      <c r="C5" s="77" t="inlineStr">
        <is>
          <t>상하이 — 훙차오 12:55 도착</t>
        </is>
      </c>
      <c r="D5" s="77" t="inlineStr"/>
      <c r="E5" s="77" t="inlineStr"/>
      <c r="F5" s="77" t="inlineStr">
        <is>
          <t>경유가 아니라 반나절짜리 하루가 생겼습니다. 예원에서 와이탄까지 한 줄로 걷는 코스.</t>
        </is>
      </c>
      <c r="G5" s="77" t="inlineStr"/>
    </row>
    <row r="6">
      <c r="A6" s="78" t="inlineStr">
        <is>
          <t>9/19</t>
        </is>
      </c>
      <c r="B6" s="78" t="inlineStr">
        <is>
          <t>토</t>
        </is>
      </c>
      <c r="C6" s="78" t="inlineStr"/>
      <c r="D6" s="78" t="inlineStr">
        <is>
          <t>12:55</t>
        </is>
      </c>
      <c r="E6" s="78" t="inlineStr"/>
      <c r="F6" s="78" t="inlineStr">
        <is>
          <t>훙차오 국제공항 T1 도착</t>
        </is>
      </c>
      <c r="G6" s="78" t="inlineStr"/>
    </row>
    <row r="7">
      <c r="A7" s="78" t="inlineStr">
        <is>
          <t>9/19</t>
        </is>
      </c>
      <c r="B7" s="78" t="inlineStr">
        <is>
          <t>토</t>
        </is>
      </c>
      <c r="C7" s="78" t="inlineStr"/>
      <c r="D7" s="78" t="inlineStr">
        <is>
          <t>13:35</t>
        </is>
      </c>
      <c r="E7" s="78" t="inlineStr"/>
      <c r="F7" s="78" t="inlineStr">
        <is>
          <t>입국 수속 · 짐 수령</t>
        </is>
      </c>
      <c r="G7" s="78" t="inlineStr">
        <is>
          <t>별도 발권이라 짐은 여기서 한 번 찾습니다</t>
        </is>
      </c>
    </row>
    <row r="8">
      <c r="A8" s="78" t="inlineStr">
        <is>
          <t>9/19</t>
        </is>
      </c>
      <c r="B8" s="78" t="inlineStr">
        <is>
          <t>토</t>
        </is>
      </c>
      <c r="C8" s="78" t="inlineStr"/>
      <c r="D8" s="78" t="inlineStr">
        <is>
          <t>13:50</t>
        </is>
      </c>
      <c r="E8" s="78" t="inlineStr">
        <is>
          <t>지하철 10호선</t>
        </is>
      </c>
      <c r="F8" s="78" t="inlineStr">
        <is>
          <t>난징둥루역</t>
        </is>
      </c>
      <c r="G8" s="78" t="inlineStr">
        <is>
          <t>5위안 · 45분 · T1역에서 바로 승차, 환승 없음</t>
        </is>
      </c>
    </row>
    <row r="9">
      <c r="A9" s="78" t="inlineStr">
        <is>
          <t>9/19</t>
        </is>
      </c>
      <c r="B9" s="78" t="inlineStr">
        <is>
          <t>토</t>
        </is>
      </c>
      <c r="C9" s="78" t="inlineStr"/>
      <c r="D9" s="78" t="inlineStr">
        <is>
          <t>14:40</t>
        </is>
      </c>
      <c r="E9" s="78" t="inlineStr"/>
      <c r="F9" s="78" t="inlineStr">
        <is>
          <t>Hi Cozy 호스텔 체크인 — 짐만 두고 바로 출발</t>
        </is>
      </c>
      <c r="G9" s="78" t="inlineStr">
        <is>
          <t>난징둥루역 도보권. 옥상 공용 라운지가 좋다는 평</t>
        </is>
      </c>
    </row>
    <row r="10">
      <c r="A10" s="78" t="inlineStr">
        <is>
          <t>9/19</t>
        </is>
      </c>
      <c r="B10" s="78" t="inlineStr">
        <is>
          <t>토</t>
        </is>
      </c>
      <c r="C10" s="78" t="inlineStr"/>
      <c r="D10" s="78" t="inlineStr">
        <is>
          <t>15:15</t>
        </is>
      </c>
      <c r="E10" s="78" t="inlineStr">
        <is>
          <t>10호선 한 정거장</t>
        </is>
      </c>
      <c r="F10" s="78" t="inlineStr">
        <is>
          <t>예원역</t>
        </is>
      </c>
      <c r="G10" s="78" t="inlineStr">
        <is>
          <t>또는 도보 20분</t>
        </is>
      </c>
    </row>
    <row r="11">
      <c r="A11" s="78" t="inlineStr">
        <is>
          <t>9/19</t>
        </is>
      </c>
      <c r="B11" s="78" t="inlineStr">
        <is>
          <t>토</t>
        </is>
      </c>
      <c r="C11" s="78" t="inlineStr"/>
      <c r="D11" s="78" t="inlineStr">
        <is>
          <t>15:30</t>
        </is>
      </c>
      <c r="E11" s="78" t="inlineStr"/>
      <c r="F11" s="78" t="inlineStr">
        <is>
          <t>예원 (豫园)</t>
        </is>
      </c>
      <c r="G11" s="78" t="inlineStr">
        <is>
          <t>[16:30 폐장] 40위안 · 명·청대 강남 정원. 좁은 회랑이 계속 꺾이며 풍경을 바꾸는 구조</t>
        </is>
      </c>
    </row>
    <row r="12">
      <c r="A12" s="78" t="inlineStr">
        <is>
          <t>9/19</t>
        </is>
      </c>
      <c r="B12" s="78" t="inlineStr">
        <is>
          <t>토</t>
        </is>
      </c>
      <c r="C12" s="78" t="inlineStr"/>
      <c r="D12" s="78" t="inlineStr">
        <is>
          <t>16:40</t>
        </is>
      </c>
      <c r="E12" s="78" t="inlineStr"/>
      <c r="F12" s="78" t="inlineStr">
        <is>
          <t>예원 라오제 — 난샹만터우뎬 샤오롱바오</t>
        </is>
      </c>
      <c r="G12" s="78" t="inlineStr">
        <is>
          <t>정원 담장 밖 상가. 1900년대 초부터 있던 원조 지점이 여기</t>
        </is>
      </c>
    </row>
    <row r="13">
      <c r="A13" s="78" t="inlineStr">
        <is>
          <t>9/19</t>
        </is>
      </c>
      <c r="B13" s="78" t="inlineStr">
        <is>
          <t>토</t>
        </is>
      </c>
      <c r="C13" s="78" t="inlineStr"/>
      <c r="D13" s="78" t="inlineStr">
        <is>
          <t>17:10</t>
        </is>
      </c>
      <c r="E13" s="78" t="inlineStr"/>
      <c r="F13" s="78" t="inlineStr">
        <is>
          <t>상하이 성황묘</t>
        </is>
      </c>
      <c r="G13" s="78" t="inlineStr">
        <is>
          <t>도교 사원. 해가 지면 붉은 조명이 들어와 낮과 완전히 다릅니다</t>
        </is>
      </c>
    </row>
    <row r="14">
      <c r="A14" s="78" t="inlineStr">
        <is>
          <t>9/19</t>
        </is>
      </c>
      <c r="B14" s="78" t="inlineStr">
        <is>
          <t>토</t>
        </is>
      </c>
      <c r="C14" s="78" t="inlineStr"/>
      <c r="D14" s="78" t="inlineStr">
        <is>
          <t>17:40</t>
        </is>
      </c>
      <c r="E14" s="78" t="inlineStr"/>
      <c r="F14" s="78" t="inlineStr">
        <is>
          <t>와이탄까지 도보</t>
        </is>
      </c>
      <c r="G14" s="78" t="inlineStr">
        <is>
          <t>15분. 옛 성곽 골목을 빠져나오면 갑자기 강변</t>
        </is>
      </c>
    </row>
    <row r="15">
      <c r="A15" s="78" t="inlineStr">
        <is>
          <t>9/19</t>
        </is>
      </c>
      <c r="B15" s="78" t="inlineStr">
        <is>
          <t>토</t>
        </is>
      </c>
      <c r="C15" s="78" t="inlineStr"/>
      <c r="D15" s="78" t="inlineStr">
        <is>
          <t>17:50</t>
        </is>
      </c>
      <c r="E15" s="78" t="inlineStr"/>
      <c r="F15" s="78" t="inlineStr">
        <is>
          <t>황푸강변 일몰 · 조계지 석조 건물 열</t>
        </is>
      </c>
      <c r="G15" s="78" t="inlineStr"/>
    </row>
    <row r="16">
      <c r="A16" s="78" t="inlineStr">
        <is>
          <t>9/19</t>
        </is>
      </c>
      <c r="B16" s="78" t="inlineStr">
        <is>
          <t>토</t>
        </is>
      </c>
      <c r="C16" s="78" t="inlineStr"/>
      <c r="D16" s="78" t="inlineStr">
        <is>
          <t>18:30</t>
        </is>
      </c>
      <c r="E16" s="78" t="inlineStr"/>
      <c r="F16" s="78" t="inlineStr">
        <is>
          <t>푸동 스카이라인 야경 점등</t>
        </is>
      </c>
      <c r="G16" s="78" t="inlineStr">
        <is>
          <t>이 시간대가 상하이에서 가장 볼 만한 장면</t>
        </is>
      </c>
    </row>
    <row r="17">
      <c r="A17" s="78" t="inlineStr">
        <is>
          <t>9/19</t>
        </is>
      </c>
      <c r="B17" s="78" t="inlineStr">
        <is>
          <t>토</t>
        </is>
      </c>
      <c r="C17" s="78" t="inlineStr"/>
      <c r="D17" s="78" t="inlineStr">
        <is>
          <t>19:15</t>
        </is>
      </c>
      <c r="E17" s="78" t="inlineStr"/>
      <c r="F17" s="78" t="inlineStr">
        <is>
          <t>난징둥루 보행가로 걸어 돌아오며 저녁</t>
        </is>
      </c>
      <c r="G17" s="78" t="inlineStr">
        <is>
          <t>훙사오러우, 성젠바오. 보행가 큰길보다 한 블록 안쪽이 낫습니다</t>
        </is>
      </c>
    </row>
    <row r="18">
      <c r="A18" s="78" t="inlineStr">
        <is>
          <t>9/19</t>
        </is>
      </c>
      <c r="B18" s="78" t="inlineStr">
        <is>
          <t>토</t>
        </is>
      </c>
      <c r="C18" s="78" t="inlineStr"/>
      <c r="D18" s="78" t="inlineStr">
        <is>
          <t>21:00</t>
        </is>
      </c>
      <c r="E18" s="78" t="inlineStr"/>
      <c r="F18" s="78" t="inlineStr">
        <is>
          <t>숙소 복귀 · 취침</t>
        </is>
      </c>
      <c r="G18" s="78" t="inlineStr">
        <is>
          <t>36시간 이동의 중간 지점. 여기서 자두는 게 이번 일정의 핵심</t>
        </is>
      </c>
    </row>
    <row r="19">
      <c r="A19" s="78" t="inlineStr">
        <is>
          <t>9/19</t>
        </is>
      </c>
      <c r="B19" s="78" t="inlineStr">
        <is>
          <t>토</t>
        </is>
      </c>
      <c r="C19" s="78" t="inlineStr"/>
      <c r="D19" s="78" t="inlineStr">
        <is>
          <t>07:30</t>
        </is>
      </c>
      <c r="E19" s="78" t="inlineStr"/>
      <c r="F19" s="78" t="inlineStr">
        <is>
          <t>기상 · 조식</t>
        </is>
      </c>
      <c r="G19" s="78" t="inlineStr">
        <is>
          <t>날짜가 9/20으로 넘어갑니다</t>
        </is>
      </c>
    </row>
    <row r="20">
      <c r="A20" s="78" t="inlineStr">
        <is>
          <t>9/19</t>
        </is>
      </c>
      <c r="B20" s="78" t="inlineStr">
        <is>
          <t>토</t>
        </is>
      </c>
      <c r="C20" s="78" t="inlineStr"/>
      <c r="D20" s="78" t="inlineStr">
        <is>
          <t>08:30</t>
        </is>
      </c>
      <c r="E20" s="78" t="inlineStr"/>
      <c r="F20" s="78" t="inlineStr">
        <is>
          <t>체크아웃</t>
        </is>
      </c>
      <c r="G20" s="78" t="inlineStr"/>
    </row>
    <row r="21">
      <c r="A21" s="78" t="inlineStr">
        <is>
          <t>9/19</t>
        </is>
      </c>
      <c r="B21" s="78" t="inlineStr">
        <is>
          <t>토</t>
        </is>
      </c>
      <c r="C21" s="78" t="inlineStr"/>
      <c r="D21" s="78" t="inlineStr">
        <is>
          <t>08:50</t>
        </is>
      </c>
      <c r="E21" s="78" t="inlineStr">
        <is>
          <t>지하철 2호선</t>
        </is>
      </c>
      <c r="F21" s="78" t="inlineStr">
        <is>
          <t>푸동 국제공항</t>
        </is>
      </c>
      <c r="G21" s="78" t="inlineStr">
        <is>
          <t>8위안 · 1시간 15분 · 광란루역에서 열차를 갈아타야 함(같은 2호선이지만 운행이 끊김)</t>
        </is>
      </c>
    </row>
    <row r="22">
      <c r="A22" s="78" t="inlineStr">
        <is>
          <t>9/19</t>
        </is>
      </c>
      <c r="B22" s="78" t="inlineStr">
        <is>
          <t>토</t>
        </is>
      </c>
      <c r="C22" s="78" t="inlineStr"/>
      <c r="D22" s="78" t="inlineStr">
        <is>
          <t>10:15</t>
        </is>
      </c>
      <c r="E22" s="78" t="inlineStr"/>
      <c r="F22" s="78" t="inlineStr">
        <is>
          <t>푸동공항 도착 · 체크인</t>
        </is>
      </c>
      <c r="G22" s="78" t="inlineStr">
        <is>
          <t>12:50 출발 기준 2시간 35분 전</t>
        </is>
      </c>
    </row>
    <row r="23">
      <c r="A23" s="78" t="inlineStr">
        <is>
          <t>9/19</t>
        </is>
      </c>
      <c r="B23" s="78" t="inlineStr">
        <is>
          <t>토</t>
        </is>
      </c>
      <c r="C23" s="78" t="inlineStr"/>
      <c r="D23" s="78" t="inlineStr"/>
      <c r="E23" s="78" t="inlineStr">
        <is>
          <t>주의</t>
        </is>
      </c>
      <c r="F23" s="78" t="inlineStr">
        <is>
          <t>오늘 하루의 유일한 관문은 예원 16:30 폐장입니다. 매표 마감은 그보다 이르니 16시 전에는 들어가야 해요. 입국 심사가 밀려 15:30을 넘길 것 같으면 체크인을 건너뛰고 10호선으로 예원역까지 직행하세요(짐은 상가 물품보관함 또는 저녁에 숙소로). 그래도 못 들어가면 담장 밖 예원 라오제와 성황묘는 밤에 더 좋습니다 — 등롱 조명이 들어오면 정원 안보다 오히려 인상적이라는 평이 많아요.</t>
        </is>
      </c>
      <c r="G23" s="78" t="inlineStr"/>
    </row>
    <row r="24">
      <c r="A24" s="78" t="inlineStr">
        <is>
          <t>9/19</t>
        </is>
      </c>
      <c r="B24" s="78" t="inlineStr">
        <is>
          <t>토</t>
        </is>
      </c>
      <c r="C24" s="78" t="inlineStr"/>
      <c r="D24" s="78" t="inlineStr"/>
      <c r="E24" s="78" t="inlineStr">
        <is>
          <t>주의</t>
        </is>
      </c>
      <c r="F24" s="78" t="inlineStr">
        <is>
          <t>알리페이 또는 위챗페이를 출발 전에 반드시 세팅하세요. 상하이는 노점·지하철·택시까지 QR 결제가 기본이고 해외 신용카드는 거부되는 곳이 많습니다. 두 앱 모두 해외 카드 연동이 되니 한국에서 미리 등록하고 소액 결제로 작동을 확인해두세요. 인터넷은 구글·카카오가 차단되니 한국 통신사 로밍을 켜두면 우회됩니다.</t>
        </is>
      </c>
      <c r="G24" s="78" t="inlineStr"/>
    </row>
    <row r="25">
      <c r="A25" s="78" t="inlineStr">
        <is>
          <t>9/19</t>
        </is>
      </c>
      <c r="B25" s="78" t="inlineStr">
        <is>
          <t>토</t>
        </is>
      </c>
      <c r="C25" s="78" t="inlineStr"/>
      <c r="D25" s="78" t="inlineStr"/>
      <c r="E25" s="78" t="inlineStr">
        <is>
          <t>주의</t>
        </is>
      </c>
      <c r="F25" s="78" t="inlineStr">
        <is>
          <t>체력이 남으면 저녁 후 황푸강 야경 유람선(120위안, 40분)을, 조용한 쪽이 좋으면 신톈디(10호선 두 정거장)를 붙이세요. 반대로 지치면 예원을 버리고 와이탄 야경 하나만 봐도 충분합니다.</t>
        </is>
      </c>
      <c r="G25" s="78" t="inlineStr"/>
    </row>
    <row r="26">
      <c r="A26" s="79" t="inlineStr"/>
      <c r="B26" s="79" t="inlineStr"/>
      <c r="C26" s="79" t="inlineStr">
        <is>
          <t>✈ 이동</t>
        </is>
      </c>
      <c r="D26" s="79" t="inlineStr"/>
      <c r="E26" s="79" t="inlineStr"/>
      <c r="F26" s="79" t="inlineStr">
        <is>
          <t>상하이 푸동 12:50 → 트빌리시 19:00</t>
        </is>
      </c>
      <c r="G26" s="79" t="inlineStr">
        <is>
          <t>시차 4시간 포함 총 소요 10시간 10분. 김포 출발부터 세면 36시간짜리 여정의 마지막 구간입니다. 상하이에서 한 번 잤기 때문에 도착일 컨디션은 나쁘지 않습니다.</t>
        </is>
      </c>
    </row>
    <row r="27">
      <c r="A27" s="77" t="inlineStr">
        <is>
          <t>9/20</t>
        </is>
      </c>
      <c r="B27" s="77" t="inlineStr">
        <is>
          <t>일</t>
        </is>
      </c>
      <c r="C27" s="77" t="inlineStr">
        <is>
          <t>트빌리시 도착</t>
        </is>
      </c>
      <c r="D27" s="77" t="inlineStr"/>
      <c r="E27" s="77" t="inlineStr"/>
      <c r="F27" s="77" t="inlineStr">
        <is>
          <t>36시간 이동의 끝. 오늘은 숙소까지 가는 것이 전부.</t>
        </is>
      </c>
      <c r="G27" s="77" t="inlineStr"/>
    </row>
    <row r="28">
      <c r="A28" s="78" t="inlineStr">
        <is>
          <t>9/20</t>
        </is>
      </c>
      <c r="B28" s="78" t="inlineStr">
        <is>
          <t>일</t>
        </is>
      </c>
      <c r="C28" s="78" t="inlineStr"/>
      <c r="D28" s="78" t="inlineStr">
        <is>
          <t>19:00</t>
        </is>
      </c>
      <c r="E28" s="78" t="inlineStr"/>
      <c r="F28" s="78" t="inlineStr">
        <is>
          <t>트빌리시 국제공항 도착</t>
        </is>
      </c>
      <c r="G28" s="78" t="inlineStr"/>
    </row>
    <row r="29">
      <c r="A29" s="78" t="inlineStr">
        <is>
          <t>9/20</t>
        </is>
      </c>
      <c r="B29" s="78" t="inlineStr">
        <is>
          <t>일</t>
        </is>
      </c>
      <c r="C29" s="78" t="inlineStr"/>
      <c r="D29" s="78" t="inlineStr">
        <is>
          <t>20:00</t>
        </is>
      </c>
      <c r="E29" s="78" t="inlineStr"/>
      <c r="F29" s="78" t="inlineStr">
        <is>
          <t>입국 수속 · 공항 ATM에서 라리 인출</t>
        </is>
      </c>
      <c r="G29" s="78" t="inlineStr">
        <is>
          <t>공항 환전소는 환율이 나쁨. ATM 쪽이 유리</t>
        </is>
      </c>
    </row>
    <row r="30">
      <c r="A30" s="78" t="inlineStr">
        <is>
          <t>9/20</t>
        </is>
      </c>
      <c r="B30" s="78" t="inlineStr">
        <is>
          <t>일</t>
        </is>
      </c>
      <c r="C30" s="78" t="inlineStr"/>
      <c r="D30" s="78" t="inlineStr">
        <is>
          <t>20:30</t>
        </is>
      </c>
      <c r="E30" s="78" t="inlineStr">
        <is>
          <t>37번 버스</t>
        </is>
      </c>
      <c r="F30" s="78" t="inlineStr">
        <is>
          <t>시내로</t>
        </is>
      </c>
      <c r="G30" s="78" t="inlineStr">
        <is>
          <t>1라리 · 40분 · 24시간 운행</t>
        </is>
      </c>
    </row>
    <row r="31">
      <c r="A31" s="78" t="inlineStr">
        <is>
          <t>9/20</t>
        </is>
      </c>
      <c r="B31" s="78" t="inlineStr">
        <is>
          <t>일</t>
        </is>
      </c>
      <c r="C31" s="78" t="inlineStr"/>
      <c r="D31" s="78" t="inlineStr">
        <is>
          <t>21:30</t>
        </is>
      </c>
      <c r="E31" s="78" t="inlineStr"/>
      <c r="F31" s="78" t="inlineStr">
        <is>
          <t>숙소 체크인</t>
        </is>
      </c>
      <c r="G31" s="78" t="inlineStr"/>
    </row>
    <row r="32">
      <c r="A32" s="78" t="inlineStr">
        <is>
          <t>9/20</t>
        </is>
      </c>
      <c r="B32" s="78" t="inlineStr">
        <is>
          <t>일</t>
        </is>
      </c>
      <c r="C32" s="78" t="inlineStr"/>
      <c r="D32" s="78" t="inlineStr">
        <is>
          <t>22:00</t>
        </is>
      </c>
      <c r="E32" s="78" t="inlineStr"/>
      <c r="F32" s="78" t="inlineStr">
        <is>
          <t>근처에서 늦은 저녁</t>
        </is>
      </c>
      <c r="G32" s="78" t="inlineStr"/>
    </row>
    <row r="33">
      <c r="A33" s="77" t="inlineStr">
        <is>
          <t>9/21</t>
        </is>
      </c>
      <c r="B33" s="77" t="inlineStr">
        <is>
          <t>월</t>
        </is>
      </c>
      <c r="C33" s="77" t="inlineStr">
        <is>
          <t>트빌리시 구시가 — 월요일 · 야외만</t>
        </is>
      </c>
      <c r="D33" s="77" t="inlineStr"/>
      <c r="E33" s="77" t="inlineStr"/>
      <c r="F33" s="77" t="inlineStr">
        <is>
          <t>월요일이라 박물관은 대부분 닫습니다. 그래서 오늘은 능선의 요새와 유황온천 골목만 걷습니다.</t>
        </is>
      </c>
      <c r="G33" s="77" t="inlineStr"/>
    </row>
    <row r="34">
      <c r="A34" s="78" t="inlineStr">
        <is>
          <t>9/21</t>
        </is>
      </c>
      <c r="B34" s="78" t="inlineStr">
        <is>
          <t>월</t>
        </is>
      </c>
      <c r="C34" s="78" t="inlineStr"/>
      <c r="D34" s="78" t="inlineStr">
        <is>
          <t>09:00</t>
        </is>
      </c>
      <c r="E34" s="78" t="inlineStr"/>
      <c r="F34" s="78" t="inlineStr">
        <is>
          <t>늦은 조식 · 자유광장 방향으로</t>
        </is>
      </c>
      <c r="G34" s="78" t="inlineStr"/>
    </row>
    <row r="35">
      <c r="A35" s="78" t="inlineStr">
        <is>
          <t>9/21</t>
        </is>
      </c>
      <c r="B35" s="78" t="inlineStr">
        <is>
          <t>월</t>
        </is>
      </c>
      <c r="C35" s="78" t="inlineStr"/>
      <c r="D35" s="78" t="inlineStr">
        <is>
          <t>09:30</t>
        </is>
      </c>
      <c r="E35" s="78" t="inlineStr"/>
      <c r="F35" s="78" t="inlineStr">
        <is>
          <t>시오니 대성당</t>
        </is>
      </c>
      <c r="G35" s="78" t="inlineStr">
        <is>
          <t>무료 · 조지아 정교회의 옛 총본산. 성 니노의 포도나무 십자가가 있습니다</t>
        </is>
      </c>
    </row>
    <row r="36">
      <c r="A36" s="78" t="inlineStr">
        <is>
          <t>9/21</t>
        </is>
      </c>
      <c r="B36" s="78" t="inlineStr">
        <is>
          <t>월</t>
        </is>
      </c>
      <c r="C36" s="78" t="inlineStr"/>
      <c r="D36" s="78" t="inlineStr">
        <is>
          <t>10:00</t>
        </is>
      </c>
      <c r="E36" s="78" t="inlineStr"/>
      <c r="F36" s="78" t="inlineStr">
        <is>
          <t>평화의 다리 · 리케 공원</t>
        </is>
      </c>
      <c r="G36" s="78" t="inlineStr"/>
    </row>
    <row r="37">
      <c r="A37" s="78" t="inlineStr">
        <is>
          <t>9/21</t>
        </is>
      </c>
      <c r="B37" s="78" t="inlineStr">
        <is>
          <t>월</t>
        </is>
      </c>
      <c r="C37" s="78" t="inlineStr"/>
      <c r="D37" s="78" t="inlineStr">
        <is>
          <t>10:30</t>
        </is>
      </c>
      <c r="E37" s="78" t="inlineStr">
        <is>
          <t>케이블카</t>
        </is>
      </c>
      <c r="F37" s="78" t="inlineStr">
        <is>
          <t>리케 공원 케이블카로 능선까지</t>
        </is>
      </c>
      <c r="G37" s="78" t="inlineStr">
        <is>
          <t>편도 2.5라리 · 메트로머니 카드로 탑승 · 3분</t>
        </is>
      </c>
    </row>
    <row r="38">
      <c r="A38" s="78" t="inlineStr">
        <is>
          <t>9/21</t>
        </is>
      </c>
      <c r="B38" s="78" t="inlineStr">
        <is>
          <t>월</t>
        </is>
      </c>
      <c r="C38" s="78" t="inlineStr"/>
      <c r="D38" s="78" t="inlineStr">
        <is>
          <t>11:00</t>
        </is>
      </c>
      <c r="E38" s="78" t="inlineStr"/>
      <c r="F38" s="78" t="inlineStr">
        <is>
          <t>나리칼라 요새</t>
        </is>
      </c>
      <c r="G38" s="78" t="inlineStr">
        <is>
          <t>[무료] 4세기 성채. 구시가와 므트크바리 강이 통째로 내려다보입니다</t>
        </is>
      </c>
    </row>
    <row r="39">
      <c r="A39" s="78" t="inlineStr">
        <is>
          <t>9/21</t>
        </is>
      </c>
      <c r="B39" s="78" t="inlineStr">
        <is>
          <t>월</t>
        </is>
      </c>
      <c r="C39" s="78" t="inlineStr"/>
      <c r="D39" s="78" t="inlineStr">
        <is>
          <t>12:00</t>
        </is>
      </c>
      <c r="E39" s="78" t="inlineStr"/>
      <c r="F39" s="78" t="inlineStr">
        <is>
          <t>능선길을 따라 조지아의 어머니 상까지 도보</t>
        </is>
      </c>
      <c r="G39" s="78" t="inlineStr"/>
    </row>
    <row r="40">
      <c r="A40" s="78" t="inlineStr">
        <is>
          <t>9/21</t>
        </is>
      </c>
      <c r="B40" s="78" t="inlineStr">
        <is>
          <t>월</t>
        </is>
      </c>
      <c r="C40" s="78" t="inlineStr"/>
      <c r="D40" s="78" t="inlineStr">
        <is>
          <t>13:00</t>
        </is>
      </c>
      <c r="E40" s="78" t="inlineStr"/>
      <c r="F40" s="78" t="inlineStr">
        <is>
          <t>구시가 점심</t>
        </is>
      </c>
      <c r="G40" s="78" t="inlineStr"/>
    </row>
    <row r="41">
      <c r="A41" s="78" t="inlineStr">
        <is>
          <t>9/21</t>
        </is>
      </c>
      <c r="B41" s="78" t="inlineStr">
        <is>
          <t>월</t>
        </is>
      </c>
      <c r="C41" s="78" t="inlineStr"/>
      <c r="D41" s="78" t="inlineStr">
        <is>
          <t>14:30</t>
        </is>
      </c>
      <c r="E41" s="78" t="inlineStr"/>
      <c r="F41" s="78" t="inlineStr">
        <is>
          <t>아바노투바니 유황온천</t>
        </is>
      </c>
      <c r="G41" s="78" t="inlineStr">
        <is>
          <t>공동탕 5~10라리 · 개인탕 1시간 40~70라리. 벽돌 돔이 늘어선 골목 자체가 볼거리</t>
        </is>
      </c>
    </row>
    <row r="42">
      <c r="A42" s="78" t="inlineStr">
        <is>
          <t>9/21</t>
        </is>
      </c>
      <c r="B42" s="78" t="inlineStr">
        <is>
          <t>월</t>
        </is>
      </c>
      <c r="C42" s="78" t="inlineStr"/>
      <c r="D42" s="78" t="inlineStr">
        <is>
          <t>16:30</t>
        </is>
      </c>
      <c r="E42" s="78" t="inlineStr"/>
      <c r="F42" s="78" t="inlineStr">
        <is>
          <t>시계탑 · 골목 산책</t>
        </is>
      </c>
      <c r="G42" s="78" t="inlineStr"/>
    </row>
    <row r="43">
      <c r="A43" s="78" t="inlineStr">
        <is>
          <t>9/21</t>
        </is>
      </c>
      <c r="B43" s="78" t="inlineStr">
        <is>
          <t>월</t>
        </is>
      </c>
      <c r="C43" s="78" t="inlineStr"/>
      <c r="D43" s="78" t="inlineStr">
        <is>
          <t>19:00</t>
        </is>
      </c>
      <c r="E43" s="78" t="inlineStr"/>
      <c r="F43" s="78" t="inlineStr">
        <is>
          <t>저녁 — 조지아 첫 밤</t>
        </is>
      </c>
      <c r="G43" s="78" t="inlineStr"/>
    </row>
    <row r="44">
      <c r="A44" s="78" t="inlineStr">
        <is>
          <t>9/21</t>
        </is>
      </c>
      <c r="B44" s="78" t="inlineStr">
        <is>
          <t>월</t>
        </is>
      </c>
      <c r="C44" s="78" t="inlineStr"/>
      <c r="D44" s="78" t="inlineStr"/>
      <c r="E44" s="78" t="inlineStr">
        <is>
          <t>주의</t>
        </is>
      </c>
      <c r="F44" s="78" t="inlineStr">
        <is>
          <t>월요일에 실내를 하나도 넣지 않은 것은 의도입니다. 조지아 국립박물관을 비롯한 트빌리시 주요 실내 시설이 월요일에 쉽니다. 야외를 오늘로 몰고 박물관은 9/22 오후로 넘겼습니다.</t>
        </is>
      </c>
      <c r="G44" s="78" t="inlineStr"/>
    </row>
    <row r="45">
      <c r="A45" s="78" t="inlineStr">
        <is>
          <t>9/21</t>
        </is>
      </c>
      <c r="B45" s="78" t="inlineStr">
        <is>
          <t>월</t>
        </is>
      </c>
      <c r="C45" s="78" t="inlineStr"/>
      <c r="D45" s="78" t="inlineStr"/>
      <c r="E45" s="78" t="inlineStr">
        <is>
          <t>주의</t>
        </is>
      </c>
      <c r="F45" s="78" t="inlineStr">
        <is>
          <t>케이블카는 올라갈 때만 타세요. 내려올 때는 능선을 따라 조지아의 어머니 상 쪽으로 걸으면 구시가 지붕이 계속 보입니다. 30~40분 내리막이라 부담이 없습니다.</t>
        </is>
      </c>
      <c r="G45" s="78" t="inlineStr"/>
    </row>
    <row r="46">
      <c r="A46" s="77" t="inlineStr">
        <is>
          <t>9/22</t>
        </is>
      </c>
      <c r="B46" s="77" t="inlineStr">
        <is>
          <t>화</t>
        </is>
      </c>
      <c r="C46" s="77" t="inlineStr">
        <is>
          <t>므츠헤타 반나절 — 밤엔 야간버스</t>
        </is>
      </c>
      <c r="D46" s="77" t="inlineStr"/>
      <c r="E46" s="77" t="inlineStr"/>
      <c r="F46" s="77" t="inlineStr">
        <is>
          <t>조지아 정교회의 옛 수도. 오후엔 트빌리시로 돌아와 어제 닫혀 있던 국립박물관을 보고, 자정 버스로 서북쪽 주그디디로 넘어갑니다.</t>
        </is>
      </c>
      <c r="G46" s="77" t="inlineStr"/>
    </row>
    <row r="47">
      <c r="A47" s="78" t="inlineStr">
        <is>
          <t>9/22</t>
        </is>
      </c>
      <c r="B47" s="78" t="inlineStr">
        <is>
          <t>화</t>
        </is>
      </c>
      <c r="C47" s="78" t="inlineStr"/>
      <c r="D47" s="78" t="inlineStr">
        <is>
          <t>08:30</t>
        </is>
      </c>
      <c r="E47" s="78" t="inlineStr"/>
      <c r="F47" s="78" t="inlineStr">
        <is>
          <t>지하철로 디두베 터미널</t>
        </is>
      </c>
      <c r="G47" s="78" t="inlineStr"/>
    </row>
    <row r="48">
      <c r="A48" s="78" t="inlineStr">
        <is>
          <t>9/22</t>
        </is>
      </c>
      <c r="B48" s="78" t="inlineStr">
        <is>
          <t>화</t>
        </is>
      </c>
      <c r="C48" s="78" t="inlineStr"/>
      <c r="D48" s="78" t="inlineStr">
        <is>
          <t>09:00</t>
        </is>
      </c>
      <c r="E48" s="78" t="inlineStr">
        <is>
          <t>마르슈르트카</t>
        </is>
      </c>
      <c r="F48" s="78" t="inlineStr">
        <is>
          <t>므츠헤타행</t>
        </is>
      </c>
      <c r="G48" s="78" t="inlineStr">
        <is>
          <t>1.5라리 · 30분 · 20분 간격</t>
        </is>
      </c>
    </row>
    <row r="49">
      <c r="A49" s="78" t="inlineStr">
        <is>
          <t>9/22</t>
        </is>
      </c>
      <c r="B49" s="78" t="inlineStr">
        <is>
          <t>화</t>
        </is>
      </c>
      <c r="C49" s="78" t="inlineStr"/>
      <c r="D49" s="78" t="inlineStr">
        <is>
          <t>09:45</t>
        </is>
      </c>
      <c r="E49" s="78" t="inlineStr"/>
      <c r="F49" s="78" t="inlineStr">
        <is>
          <t>스베티츠호벨리 대성당</t>
        </is>
      </c>
      <c r="G49" s="78" t="inlineStr">
        <is>
          <t>[무료] 11세기. 그리스도의 옷이 묻혔다는 전승이 있는 곳</t>
        </is>
      </c>
    </row>
    <row r="50">
      <c r="A50" s="78" t="inlineStr">
        <is>
          <t>9/22</t>
        </is>
      </c>
      <c r="B50" s="78" t="inlineStr">
        <is>
          <t>화</t>
        </is>
      </c>
      <c r="C50" s="78" t="inlineStr"/>
      <c r="D50" s="78" t="inlineStr">
        <is>
          <t>11:00</t>
        </is>
      </c>
      <c r="E50" s="78" t="inlineStr">
        <is>
          <t>택시</t>
        </is>
      </c>
      <c r="F50" s="78" t="inlineStr">
        <is>
          <t>즈바리 수도원 왕복</t>
        </is>
      </c>
      <c r="G50" s="78" t="inlineStr">
        <is>
          <t>25라리 · 대기 포함으로 흥정. 언덕 위 7km, 대중교통이 없습니다</t>
        </is>
      </c>
    </row>
    <row r="51">
      <c r="A51" s="78" t="inlineStr">
        <is>
          <t>9/22</t>
        </is>
      </c>
      <c r="B51" s="78" t="inlineStr">
        <is>
          <t>화</t>
        </is>
      </c>
      <c r="C51" s="78" t="inlineStr"/>
      <c r="D51" s="78" t="inlineStr">
        <is>
          <t>12:30</t>
        </is>
      </c>
      <c r="E51" s="78" t="inlineStr"/>
      <c r="F51" s="78" t="inlineStr">
        <is>
          <t>즈바리에서 므트크바리 · 아라그비 두 강 합류 조망</t>
        </is>
      </c>
      <c r="G51" s="78" t="inlineStr"/>
    </row>
    <row r="52">
      <c r="A52" s="78" t="inlineStr">
        <is>
          <t>9/22</t>
        </is>
      </c>
      <c r="B52" s="78" t="inlineStr">
        <is>
          <t>화</t>
        </is>
      </c>
      <c r="C52" s="78" t="inlineStr"/>
      <c r="D52" s="78" t="inlineStr">
        <is>
          <t>13:30</t>
        </is>
      </c>
      <c r="E52" s="78" t="inlineStr"/>
      <c r="F52" s="78" t="inlineStr">
        <is>
          <t>므츠헤타에서 점심</t>
        </is>
      </c>
      <c r="G52" s="78" t="inlineStr"/>
    </row>
    <row r="53">
      <c r="A53" s="78" t="inlineStr">
        <is>
          <t>9/22</t>
        </is>
      </c>
      <c r="B53" s="78" t="inlineStr">
        <is>
          <t>화</t>
        </is>
      </c>
      <c r="C53" s="78" t="inlineStr"/>
      <c r="D53" s="78" t="inlineStr">
        <is>
          <t>15:00</t>
        </is>
      </c>
      <c r="E53" s="78" t="inlineStr"/>
      <c r="F53" s="78" t="inlineStr">
        <is>
          <t>트빌리시 복귀</t>
        </is>
      </c>
      <c r="G53" s="78" t="inlineStr"/>
    </row>
    <row r="54">
      <c r="A54" s="78" t="inlineStr">
        <is>
          <t>9/22</t>
        </is>
      </c>
      <c r="B54" s="78" t="inlineStr">
        <is>
          <t>화</t>
        </is>
      </c>
      <c r="C54" s="78" t="inlineStr"/>
      <c r="D54" s="78" t="inlineStr">
        <is>
          <t>16:00</t>
        </is>
      </c>
      <c r="E54" s="78" t="inlineStr"/>
      <c r="F54" s="78" t="inlineStr">
        <is>
          <t>조지아 국립박물관</t>
        </is>
      </c>
      <c r="G54" s="78" t="inlineStr">
        <is>
          <t>[15라리] 15라리 · 화~일 10:00~18:00, 월요일 휴관. 지하 고고학관의 기원전 금세공이 핵심</t>
        </is>
      </c>
    </row>
    <row r="55">
      <c r="A55" s="78" t="inlineStr">
        <is>
          <t>9/22</t>
        </is>
      </c>
      <c r="B55" s="78" t="inlineStr">
        <is>
          <t>화</t>
        </is>
      </c>
      <c r="C55" s="78" t="inlineStr"/>
      <c r="D55" s="78" t="inlineStr">
        <is>
          <t>18:00</t>
        </is>
      </c>
      <c r="E55" s="78" t="inlineStr"/>
      <c r="F55" s="78" t="inlineStr">
        <is>
          <t>드라이 브리지 벼룩시장</t>
        </is>
      </c>
      <c r="G55" s="78" t="inlineStr">
        <is>
          <t>소련 시절 훈장·카메라·식기가 나옵니다. 해질 무렵에 파장</t>
        </is>
      </c>
    </row>
    <row r="56">
      <c r="A56" s="78" t="inlineStr">
        <is>
          <t>9/22</t>
        </is>
      </c>
      <c r="B56" s="78" t="inlineStr">
        <is>
          <t>화</t>
        </is>
      </c>
      <c r="C56" s="78" t="inlineStr"/>
      <c r="D56" s="78" t="inlineStr">
        <is>
          <t>19:30</t>
        </is>
      </c>
      <c r="E56" s="78" t="inlineStr"/>
      <c r="F56" s="78" t="inlineStr">
        <is>
          <t>저녁 · 트빌리시 야경</t>
        </is>
      </c>
      <c r="G56" s="78" t="inlineStr"/>
    </row>
    <row r="57">
      <c r="A57" s="78" t="inlineStr">
        <is>
          <t>9/22</t>
        </is>
      </c>
      <c r="B57" s="78" t="inlineStr">
        <is>
          <t>화</t>
        </is>
      </c>
      <c r="C57" s="78" t="inlineStr"/>
      <c r="D57" s="78" t="inlineStr">
        <is>
          <t>21:30</t>
        </is>
      </c>
      <c r="E57" s="78" t="inlineStr"/>
      <c r="F57" s="78" t="inlineStr">
        <is>
          <t>숙소에서 트레킹 배낭만 챙기기</t>
        </is>
      </c>
      <c r="G57" s="78" t="inlineStr">
        <is>
          <t>큰 짐은 9/28 까지 이 숙소에 맡겨 둡니다 — 스바네티에는 짐을 둘 곳이 없습니다 · 오늘 밤은 버스에서 잡니다</t>
        </is>
      </c>
    </row>
    <row r="58">
      <c r="A58" s="78" t="inlineStr">
        <is>
          <t>9/22</t>
        </is>
      </c>
      <c r="B58" s="78" t="inlineStr">
        <is>
          <t>화</t>
        </is>
      </c>
      <c r="C58" s="78" t="inlineStr"/>
      <c r="D58" s="78" t="inlineStr">
        <is>
          <t>22:30</t>
        </is>
      </c>
      <c r="E58" s="78" t="inlineStr">
        <is>
          <t>택시</t>
        </is>
      </c>
      <c r="F58" s="78" t="inlineStr">
        <is>
          <t>오르타찰라 터미널로</t>
        </is>
      </c>
      <c r="G58" s="78" t="inlineStr">
        <is>
          <t>[12라리] 지하철이 닿지 않습니다. 볼트(Bolt) 앱이 가장 싸고 확실합니다</t>
        </is>
      </c>
    </row>
    <row r="59">
      <c r="A59" s="78" t="inlineStr">
        <is>
          <t>9/22</t>
        </is>
      </c>
      <c r="B59" s="78" t="inlineStr">
        <is>
          <t>화</t>
        </is>
      </c>
      <c r="C59" s="78" t="inlineStr"/>
      <c r="D59" s="78" t="inlineStr">
        <is>
          <t>23:15</t>
        </is>
      </c>
      <c r="E59" s="78" t="inlineStr"/>
      <c r="F59" s="78" t="inlineStr">
        <is>
          <t>터미널 도착 · 표 확인</t>
        </is>
      </c>
      <c r="G59" s="78" t="inlineStr">
        <is>
          <t>OmniBus·TKT.GE 로 예매했어도 창구에서 한 번 확인받으세요</t>
        </is>
      </c>
    </row>
    <row r="60">
      <c r="A60" s="78" t="inlineStr">
        <is>
          <t>9/22</t>
        </is>
      </c>
      <c r="B60" s="78" t="inlineStr">
        <is>
          <t>화</t>
        </is>
      </c>
      <c r="C60" s="78" t="inlineStr"/>
      <c r="D60" s="78" t="inlineStr">
        <is>
          <t>23:45</t>
        </is>
      </c>
      <c r="E60" s="78" t="inlineStr">
        <is>
          <t>야간버스</t>
        </is>
      </c>
      <c r="F60" s="78" t="inlineStr">
        <is>
          <t>주그디디행</t>
        </is>
      </c>
      <c r="G60" s="78" t="inlineStr">
        <is>
          <t>[35라리] 약 5시간 45분 · 05:30 주그디디역 도착 · 좌석은 눕지 않는 리클라이너입니다 · 디두베 23:59 발도 같은 시각에 닿습니다 — 지하철로 갈 수 있어 택시비가 빠집니다 · 목베개와 안대를 챙기세요. 화장실 정차는 한 번뿐입니다</t>
        </is>
      </c>
    </row>
    <row r="61">
      <c r="A61" s="78" t="inlineStr">
        <is>
          <t>9/22</t>
        </is>
      </c>
      <c r="B61" s="78" t="inlineStr">
        <is>
          <t>화</t>
        </is>
      </c>
      <c r="C61" s="78" t="inlineStr"/>
      <c r="D61" s="78" t="inlineStr"/>
      <c r="E61" s="78" t="inlineStr">
        <is>
          <t>주의</t>
        </is>
      </c>
      <c r="F61" s="78" t="inlineStr">
        <is>
          <t>즈바리는 대중교통이 없습니다. 므츠헤타에서 직선으로는 2km인데 강을 건너 산을 올라야 해서 도로로는 7km입니다. 대성당 앞에서 대기 포함 25라리로 흥정하세요 — 걸어 오르는 길은 그늘 없는 차도라 권하지 않습니다.</t>
        </is>
      </c>
      <c r="G61" s="78" t="inlineStr"/>
    </row>
    <row r="62">
      <c r="A62" s="78" t="inlineStr">
        <is>
          <t>9/22</t>
        </is>
      </c>
      <c r="B62" s="78" t="inlineStr">
        <is>
          <t>화</t>
        </is>
      </c>
      <c r="C62" s="78" t="inlineStr"/>
      <c r="D62" s="78" t="inlineStr"/>
      <c r="E62" s="78" t="inlineStr">
        <is>
          <t>주의</t>
        </is>
      </c>
      <c r="F62" s="78" t="inlineStr">
        <is>
          <t>오전 므츠헤타 · 오후 트빌리시로 나눈 것은 월요일 휴관을 피하려고입니다. 국립박물관을 어제 넣었다면 헛걸음이었습니다.</t>
        </is>
      </c>
      <c r="G62" s="78" t="inlineStr"/>
    </row>
    <row r="63">
      <c r="A63" s="78" t="inlineStr">
        <is>
          <t>9/22</t>
        </is>
      </c>
      <c r="B63" s="78" t="inlineStr">
        <is>
          <t>화</t>
        </is>
      </c>
      <c r="C63" s="78" t="inlineStr"/>
      <c r="D63" s="78" t="inlineStr"/>
      <c r="E63" s="78" t="inlineStr">
        <is>
          <t>주의</t>
        </is>
      </c>
      <c r="F63" s="78" t="inlineStr">
        <is>
          <t>야간버스가 이번 판의 핵심이자 유일한 도박입니다. 23:45 오르타찰라 발 주그디디행(OmniBus, 35라리)을 타면 숙박 한 번이 이동으로 바뀌고, 그 하루가 그대로 트레킹에 더해집니다. 다만 고속도로 야간 보수공사로 운행이 멈췄다는 보고가 있으니 출발 2~3일 전에 반드시 확인하세요 — OmniBus 홈페이지나 TKT.GE 에서 그 날짜에 표가 팔리는지 보면 됩니다.</t>
        </is>
      </c>
      <c r="G63" s="78" t="inlineStr"/>
    </row>
    <row r="64">
      <c r="A64" s="78" t="inlineStr">
        <is>
          <t>9/22</t>
        </is>
      </c>
      <c r="B64" s="78" t="inlineStr">
        <is>
          <t>화</t>
        </is>
      </c>
      <c r="C64" s="78" t="inlineStr"/>
      <c r="D64" s="78" t="inlineStr"/>
      <c r="E64" s="78" t="inlineStr">
        <is>
          <t>주의</t>
        </is>
      </c>
      <c r="F64" s="78" t="inlineStr">
        <is>
          <t>안 뜨면 이렇게 하세요 — 트레킹 날짜는 그대로 유지됩니다. 오늘 트빌리시에서 그냥 자고(숙소 1박 추가), 내일 아침 디두베에서 메스티아 직행 마르슈르트카(07:00 발, 9시간, 50라리)를 타면 9/23 16시쯤 메스티아에 닿습니다. 그대로 택시로 자베시(50라리)에 들어가면 나흘 종주가 하루도 밀리지 않습니다.</t>
        </is>
      </c>
      <c r="G64" s="78" t="inlineStr"/>
    </row>
    <row r="65">
      <c r="A65" s="79" t="inlineStr"/>
      <c r="B65" s="79" t="inlineStr"/>
      <c r="C65" s="79" t="inlineStr">
        <is>
          <t>✈ 이동</t>
        </is>
      </c>
      <c r="D65" s="79" t="inlineStr"/>
      <c r="E65" s="79" t="inlineStr"/>
      <c r="F65" s="79" t="inlineStr">
        <is>
          <t>9/23 새벽 — 트빌리시 → 주그디디 야간버스</t>
        </is>
      </c>
      <c r="G65" s="79" t="inlineStr">
        <is>
          <t>23:45 오르타찰라 발(23:59 디두베 발도 있음), 05:30 주그디디역 도착. 숙박 한 번이 이동으로 바뀌고 그 하루가 트레킹에 더해집니다. 결항하면 다음 날 아침 디두베에서 메스티아 직행(9시간)을 타고 택시로 자베시에 들어가면 날짜는 밀리지 않습니다.</t>
        </is>
      </c>
    </row>
    <row r="66">
      <c r="A66" s="77" t="inlineStr">
        <is>
          <t>9/23</t>
        </is>
      </c>
      <c r="B66" s="77" t="inlineStr">
        <is>
          <t>수</t>
        </is>
      </c>
      <c r="C66" s="77" t="inlineStr">
        <is>
          <t>주그디디 → 메스티아 → 자베시 — 트레킹 1일차</t>
        </is>
      </c>
      <c r="D66" s="77" t="inlineStr"/>
      <c r="E66" s="77" t="inlineStr"/>
      <c r="F66" s="77" t="inlineStr">
        <is>
          <t>새벽에 주그디디에 내려 산으로 올라가고, 그 길로 걷기 시작합니다. 같이 탈 사람을 찾으면 첫날을 온전히 걷고, 못 찾으면 찻길 구간을 택시로 건너뜁니다.</t>
        </is>
      </c>
      <c r="G66" s="77" t="inlineStr"/>
    </row>
    <row r="67">
      <c r="A67" s="78" t="inlineStr">
        <is>
          <t>9/23</t>
        </is>
      </c>
      <c r="B67" s="78" t="inlineStr">
        <is>
          <t>수</t>
        </is>
      </c>
      <c r="C67" s="78" t="inlineStr"/>
      <c r="D67" s="78" t="inlineStr">
        <is>
          <t>05:30</t>
        </is>
      </c>
      <c r="E67" s="78" t="inlineStr"/>
      <c r="F67" s="78" t="inlineStr">
        <is>
          <t>주그디디역 도착 · 같이 탈 트레커 찾기</t>
        </is>
      </c>
      <c r="G67" s="78" t="inlineStr">
        <is>
          <t>메스티아 합승택시는 차 한 대 약 300라리입니다. 넷이 모이면 1인 70~75라리, 안 모이면 B안</t>
        </is>
      </c>
    </row>
    <row r="68">
      <c r="A68" s="78" t="inlineStr">
        <is>
          <t>9/23</t>
        </is>
      </c>
      <c r="B68" s="78" t="inlineStr">
        <is>
          <t>수</t>
        </is>
      </c>
      <c r="C68" s="78" t="inlineStr"/>
      <c r="D68" s="78" t="inlineStr">
        <is>
          <t>06:00</t>
        </is>
      </c>
      <c r="E68" s="78" t="inlineStr">
        <is>
          <t>합승택시</t>
        </is>
      </c>
      <c r="F68" s="78" t="inlineStr">
        <is>
          <t>메스티아행</t>
        </is>
      </c>
      <c r="G68" s="78" t="inlineStr">
        <is>
          <t>[70~75라리] 약 3시간 · 엔구리 저수지를 왼쪽에 끼고 오릅니다</t>
        </is>
      </c>
    </row>
    <row r="69">
      <c r="A69" s="78" t="inlineStr">
        <is>
          <t>9/23</t>
        </is>
      </c>
      <c r="B69" s="78" t="inlineStr">
        <is>
          <t>수</t>
        </is>
      </c>
      <c r="C69" s="78" t="inlineStr"/>
      <c r="D69" s="78" t="inlineStr">
        <is>
          <t>09:00</t>
        </is>
      </c>
      <c r="E69" s="78" t="inlineStr"/>
      <c r="F69" s="78" t="inlineStr">
        <is>
          <t>메스티아 도착 · 아침 · 현금 인출</t>
        </is>
      </c>
      <c r="G69" s="78" t="inlineStr">
        <is>
          <t>메스티아가 마지막 ATM 입니다 — 나흘치 600라리 · 9/26 오후 주그디디행 편이 있는지 여기서 물어 두세요</t>
        </is>
      </c>
    </row>
    <row r="70">
      <c r="A70" s="78" t="inlineStr">
        <is>
          <t>9/23</t>
        </is>
      </c>
      <c r="B70" s="78" t="inlineStr">
        <is>
          <t>수</t>
        </is>
      </c>
      <c r="C70" s="78" t="inlineStr"/>
      <c r="D70" s="78" t="inlineStr">
        <is>
          <t>10:00</t>
        </is>
      </c>
      <c r="E70" s="78" t="inlineStr"/>
      <c r="F70" s="78" t="inlineStr">
        <is>
          <t>1일차 출발 — 물라히 계곡을 따라 자베시로</t>
        </is>
      </c>
      <c r="G70" s="78" t="inlineStr">
        <is>
          <t>16.1km · 오르막 763m · 내리막 523m · 5~7시간 · 대부분 비포장 찻길과 목초지 길입니다. 라히리 마을로 도는 윗길은 찻길을 피하지만 조금 길고 길 찾기가 어렵습니다</t>
        </is>
      </c>
    </row>
    <row r="71">
      <c r="A71" s="78" t="inlineStr">
        <is>
          <t>9/23</t>
        </is>
      </c>
      <c r="B71" s="78" t="inlineStr">
        <is>
          <t>수</t>
        </is>
      </c>
      <c r="C71" s="78" t="inlineStr"/>
      <c r="D71" s="78" t="inlineStr">
        <is>
          <t>16:00</t>
        </is>
      </c>
      <c r="E71" s="78" t="inlineStr"/>
      <c r="F71" s="78" t="inlineStr">
        <is>
          <t>자베시 도착</t>
        </is>
      </c>
      <c r="G71" s="78" t="inlineStr">
        <is>
          <t>게스트하우스 저녁·아침 포함 80~100라리 · 현금만</t>
        </is>
      </c>
    </row>
    <row r="72">
      <c r="A72" s="78" t="inlineStr">
        <is>
          <t>9/23</t>
        </is>
      </c>
      <c r="B72" s="78" t="inlineStr">
        <is>
          <t>수</t>
        </is>
      </c>
      <c r="C72" s="78" t="inlineStr"/>
      <c r="D72" s="78" t="inlineStr">
        <is>
          <t>05:30</t>
        </is>
      </c>
      <c r="E72" s="78" t="inlineStr"/>
      <c r="F72" s="78" t="inlineStr">
        <is>
          <t>주그디디역 도착 · 역 근처에서 아침</t>
        </is>
      </c>
      <c r="G72" s="78" t="inlineStr"/>
    </row>
    <row r="73">
      <c r="A73" s="78" t="inlineStr">
        <is>
          <t>9/23</t>
        </is>
      </c>
      <c r="B73" s="78" t="inlineStr">
        <is>
          <t>수</t>
        </is>
      </c>
      <c r="C73" s="78" t="inlineStr"/>
      <c r="D73" s="78" t="inlineStr">
        <is>
          <t>10:00</t>
        </is>
      </c>
      <c r="E73" s="78" t="inlineStr">
        <is>
          <t>마르슈르트카</t>
        </is>
      </c>
      <c r="F73" s="78" t="inlineStr">
        <is>
          <t>메스티아행</t>
        </is>
      </c>
      <c r="G73" s="78" t="inlineStr">
        <is>
          <t>[35~40라리] 출발 시각이 자료마다 다릅니다 — 10:00 전후(시장·다리 쪽 정류장), 14:30~15:00(역 앞). 차면 떠납니다 · 3~4시간</t>
        </is>
      </c>
    </row>
    <row r="74">
      <c r="A74" s="78" t="inlineStr">
        <is>
          <t>9/23</t>
        </is>
      </c>
      <c r="B74" s="78" t="inlineStr">
        <is>
          <t>수</t>
        </is>
      </c>
      <c r="C74" s="78" t="inlineStr"/>
      <c r="D74" s="78" t="inlineStr">
        <is>
          <t>14:00</t>
        </is>
      </c>
      <c r="E74" s="78" t="inlineStr"/>
      <c r="F74" s="78" t="inlineStr">
        <is>
          <t>메스티아 도착 · 점심 · 현금 인출</t>
        </is>
      </c>
      <c r="G74" s="78" t="inlineStr">
        <is>
          <t>9/26 오후 주그디디행 편이 있는지 여기서 물어 두세요</t>
        </is>
      </c>
    </row>
    <row r="75">
      <c r="A75" s="78" t="inlineStr">
        <is>
          <t>9/23</t>
        </is>
      </c>
      <c r="B75" s="78" t="inlineStr">
        <is>
          <t>수</t>
        </is>
      </c>
      <c r="C75" s="78" t="inlineStr"/>
      <c r="D75" s="78" t="inlineStr">
        <is>
          <t>15:00</t>
        </is>
      </c>
      <c r="E75" s="78" t="inlineStr">
        <is>
          <t>택시</t>
        </is>
      </c>
      <c r="F75" s="78" t="inlineStr">
        <is>
          <t>자베시까지</t>
        </is>
      </c>
      <c r="G75" s="78" t="inlineStr">
        <is>
          <t>[50라리] 1일차 찻길 구간을 건너뜁니다 · 요금 자료가 적으니 흥정하세요</t>
        </is>
      </c>
    </row>
    <row r="76">
      <c r="A76" s="78" t="inlineStr">
        <is>
          <t>9/23</t>
        </is>
      </c>
      <c r="B76" s="78" t="inlineStr">
        <is>
          <t>수</t>
        </is>
      </c>
      <c r="C76" s="78" t="inlineStr"/>
      <c r="D76" s="78" t="inlineStr">
        <is>
          <t>16:00</t>
        </is>
      </c>
      <c r="E76" s="78" t="inlineStr"/>
      <c r="F76" s="78" t="inlineStr">
        <is>
          <t>자베시 도착</t>
        </is>
      </c>
      <c r="G76" s="78" t="inlineStr"/>
    </row>
    <row r="77">
      <c r="A77" s="78" t="inlineStr">
        <is>
          <t>9/23</t>
        </is>
      </c>
      <c r="B77" s="78" t="inlineStr">
        <is>
          <t>수</t>
        </is>
      </c>
      <c r="C77" s="78" t="inlineStr"/>
      <c r="D77" s="78" t="inlineStr">
        <is>
          <t>18:00</t>
        </is>
      </c>
      <c r="E77" s="78" t="inlineStr"/>
      <c r="F77" s="78" t="inlineStr">
        <is>
          <t>내일 아디시 숙소 확인</t>
        </is>
      </c>
      <c r="G77" s="78" t="inlineStr">
        <is>
          <t>주인에게 아디시 게스트하우스에 전화로 자리를 잡아 달라고 부탁하세요 — 9월 말은 문을 닫는 집이 생깁니다</t>
        </is>
      </c>
    </row>
    <row r="78">
      <c r="A78" s="78" t="inlineStr">
        <is>
          <t>9/23</t>
        </is>
      </c>
      <c r="B78" s="78" t="inlineStr">
        <is>
          <t>수</t>
        </is>
      </c>
      <c r="C78" s="78" t="inlineStr"/>
      <c r="D78" s="78" t="inlineStr">
        <is>
          <t>19:00</t>
        </is>
      </c>
      <c r="E78" s="78" t="inlineStr"/>
      <c r="F78" s="78" t="inlineStr">
        <is>
          <t>게스트하우스 저녁 · 내일 도시락 주문</t>
        </is>
      </c>
      <c r="G78" s="78" t="inlineStr"/>
    </row>
    <row r="79">
      <c r="A79" s="78" t="inlineStr">
        <is>
          <t>9/23</t>
        </is>
      </c>
      <c r="B79" s="78" t="inlineStr">
        <is>
          <t>수</t>
        </is>
      </c>
      <c r="C79" s="78" t="inlineStr"/>
      <c r="D79" s="78" t="inlineStr"/>
      <c r="E79" s="78" t="inlineStr">
        <is>
          <t>주의</t>
        </is>
      </c>
      <c r="F79" s="78" t="inlineStr">
        <is>
          <t>주그디디→메스티아 새벽 편은 이제 없습니다. 야간열차가 끊긴 뒤로 마르슈르트카는 10:00 전후나 오후에 떠난다는 자료만 남았습니다. 그래서 05:30에 같은 버스에서 내리는 트레커와 합승택시를 나누는 A안을 먼저 적었습니다 — 10시에 메스티아를 떠나야 첫날 16km를 해 지기(19시 전후) 전에 걷습니다.</t>
        </is>
      </c>
      <c r="G79" s="78" t="inlineStr"/>
    </row>
    <row r="80">
      <c r="A80" s="78" t="inlineStr">
        <is>
          <t>9/23</t>
        </is>
      </c>
      <c r="B80" s="78" t="inlineStr">
        <is>
          <t>수</t>
        </is>
      </c>
      <c r="C80" s="78" t="inlineStr"/>
      <c r="D80" s="78" t="inlineStr"/>
      <c r="E80" s="78" t="inlineStr">
        <is>
          <t>주의</t>
        </is>
      </c>
      <c r="F80" s="78" t="inlineStr">
        <is>
          <t>큰 짐은 트빌리시 숙소에 두고 오세요. 메스티아에는 공식 짐 보관소가 없고, 이번 판은 메스티아에서 자지 않아 게스트하우스에 맡기기도 어렵습니다. 짐 운반 서비스는 차 한 대 600라리(6인분)라 혼자 쓰기엔 너무 비쌉니다. 9/22 체크아웃 때 9/28 까지 맡아 줄 수 있는지 묻고, 9/28 숙소를 같은 곳으로 잡으세요.</t>
        </is>
      </c>
      <c r="G80" s="78" t="inlineStr"/>
    </row>
    <row r="81">
      <c r="A81" s="78" t="inlineStr">
        <is>
          <t>9/23</t>
        </is>
      </c>
      <c r="B81" s="78" t="inlineStr">
        <is>
          <t>수</t>
        </is>
      </c>
      <c r="C81" s="78" t="inlineStr"/>
      <c r="D81" s="78" t="inlineStr"/>
      <c r="E81" s="78" t="inlineStr">
        <is>
          <t>주의</t>
        </is>
      </c>
      <c r="F81" s="78" t="inlineStr">
        <is>
          <t>메스티아가 마지막 ATM 입니다. 게스트하우스·말·밴이 전부 현금이라 트빌리시에서 600라리를 뽑아 오세요. 메스티아 ATM 은 고장 나 있을 때가 있습니다.</t>
        </is>
      </c>
      <c r="G81" s="78" t="inlineStr"/>
    </row>
    <row r="82">
      <c r="A82" s="77" t="inlineStr">
        <is>
          <t>9/24</t>
        </is>
      </c>
      <c r="B82" s="77" t="inlineStr">
        <is>
          <t>목</t>
        </is>
      </c>
      <c r="C82" s="77" t="inlineStr">
        <is>
          <t>자베시 → 아디시 — 트레킹 2일차</t>
        </is>
      </c>
      <c r="D82" s="77" t="inlineStr"/>
      <c r="E82" s="77" t="inlineStr"/>
      <c r="F82" s="77" t="inlineStr">
        <is>
          <t>거리는 가장 짧지만 오르막이 가장 가파른 날. 능선 윗길과 계곡 아랫길 중 날씨를 보고 고릅니다.</t>
        </is>
      </c>
      <c r="G82" s="77" t="inlineStr"/>
    </row>
    <row r="83">
      <c r="A83" s="78" t="inlineStr">
        <is>
          <t>9/24</t>
        </is>
      </c>
      <c r="B83" s="78" t="inlineStr">
        <is>
          <t>목</t>
        </is>
      </c>
      <c r="C83" s="78" t="inlineStr"/>
      <c r="D83" s="78" t="inlineStr">
        <is>
          <t>08:00</t>
        </is>
      </c>
      <c r="E83" s="78" t="inlineStr"/>
      <c r="F83" s="78" t="inlineStr">
        <is>
          <t>조식 · 도시락 받기</t>
        </is>
      </c>
      <c r="G83" s="78" t="inlineStr"/>
    </row>
    <row r="84">
      <c r="A84" s="78" t="inlineStr">
        <is>
          <t>9/24</t>
        </is>
      </c>
      <c r="B84" s="78" t="inlineStr">
        <is>
          <t>목</t>
        </is>
      </c>
      <c r="C84" s="78" t="inlineStr"/>
      <c r="D84" s="78" t="inlineStr">
        <is>
          <t>08:30</t>
        </is>
      </c>
      <c r="E84" s="78" t="inlineStr"/>
      <c r="F84" s="78" t="inlineStr">
        <is>
          <t>2일차 출발</t>
        </is>
      </c>
      <c r="G84" s="78" t="inlineStr">
        <is>
          <t>10.6km · 오르막 909m · 내리막 527m · 4~6시간 · 윗길(능선)은 해발 2,500m 안팎을 지나 12.5km · 오르막 1,164m 로 늘어납니다. 흐리거나 바람이 세면 아랫길 · 능선의 트하르펠 산장 카페가 9월 말에 여는지는 확인되지 않았습니다 — 먹을 것과 물은 들고 가세요</t>
        </is>
      </c>
    </row>
    <row r="85">
      <c r="A85" s="78" t="inlineStr">
        <is>
          <t>9/24</t>
        </is>
      </c>
      <c r="B85" s="78" t="inlineStr">
        <is>
          <t>목</t>
        </is>
      </c>
      <c r="C85" s="78" t="inlineStr"/>
      <c r="D85" s="78" t="inlineStr">
        <is>
          <t>12:00</t>
        </is>
      </c>
      <c r="E85" s="78" t="inlineStr"/>
      <c r="F85" s="78" t="inlineStr">
        <is>
          <t>점심 (도시락)</t>
        </is>
      </c>
      <c r="G85" s="78" t="inlineStr"/>
    </row>
    <row r="86">
      <c r="A86" s="78" t="inlineStr">
        <is>
          <t>9/24</t>
        </is>
      </c>
      <c r="B86" s="78" t="inlineStr">
        <is>
          <t>목</t>
        </is>
      </c>
      <c r="C86" s="78" t="inlineStr"/>
      <c r="D86" s="78" t="inlineStr">
        <is>
          <t>14:00</t>
        </is>
      </c>
      <c r="E86" s="78" t="inlineStr"/>
      <c r="F86" s="78" t="inlineStr">
        <is>
          <t>아디시 도착</t>
        </is>
      </c>
      <c r="G86" s="78" t="inlineStr">
        <is>
          <t>해발 2,040m · 게스트하우스가 몇 곳뿐입니다</t>
        </is>
      </c>
    </row>
    <row r="87">
      <c r="A87" s="78" t="inlineStr">
        <is>
          <t>9/24</t>
        </is>
      </c>
      <c r="B87" s="78" t="inlineStr">
        <is>
          <t>목</t>
        </is>
      </c>
      <c r="C87" s="78" t="inlineStr"/>
      <c r="D87" s="78" t="inlineStr">
        <is>
          <t>15:00</t>
        </is>
      </c>
      <c r="E87" s="78" t="inlineStr"/>
      <c r="F87" s="78" t="inlineStr">
        <is>
          <t>마을에서 쉬기</t>
        </is>
      </c>
      <c r="G87" s="78" t="inlineStr">
        <is>
          <t>내일이 가장 긴 날입니다</t>
        </is>
      </c>
    </row>
    <row r="88">
      <c r="A88" s="78" t="inlineStr">
        <is>
          <t>9/24</t>
        </is>
      </c>
      <c r="B88" s="78" t="inlineStr">
        <is>
          <t>목</t>
        </is>
      </c>
      <c r="C88" s="78" t="inlineStr"/>
      <c r="D88" s="78" t="inlineStr">
        <is>
          <t>18:00</t>
        </is>
      </c>
      <c r="E88" s="78" t="inlineStr"/>
      <c r="F88" s="78" t="inlineStr">
        <is>
          <t>내일 아침 말 확인</t>
        </is>
      </c>
      <c r="G88" s="78" t="inlineStr">
        <is>
          <t>아디시 강에 다리가 없습니다. 주인에게 말꾼을 불러 달라고 하세요 — 20~30라리</t>
        </is>
      </c>
    </row>
    <row r="89">
      <c r="A89" s="78" t="inlineStr">
        <is>
          <t>9/24</t>
        </is>
      </c>
      <c r="B89" s="78" t="inlineStr">
        <is>
          <t>목</t>
        </is>
      </c>
      <c r="C89" s="78" t="inlineStr"/>
      <c r="D89" s="78" t="inlineStr">
        <is>
          <t>19:00</t>
        </is>
      </c>
      <c r="E89" s="78" t="inlineStr"/>
      <c r="F89" s="78" t="inlineStr">
        <is>
          <t>게스트하우스 저녁 · 도시락 주문 · 산악 예보 확인</t>
        </is>
      </c>
      <c r="G89" s="78" t="inlineStr"/>
    </row>
    <row r="90">
      <c r="A90" s="78" t="inlineStr">
        <is>
          <t>9/24</t>
        </is>
      </c>
      <c r="B90" s="78" t="inlineStr">
        <is>
          <t>목</t>
        </is>
      </c>
      <c r="C90" s="78" t="inlineStr"/>
      <c r="D90" s="78" t="inlineStr"/>
      <c r="E90" s="78" t="inlineStr">
        <is>
          <t>주의</t>
        </is>
      </c>
      <c r="F90" s="78" t="inlineStr">
        <is>
          <t>아디시가 나흘 중 병목입니다. 게스트하우스가 몇 곳뿐이고 값도 높은 편입니다(저녁·아침 포함 약 85라리, 2026년 1월 자료). 9월 말부터 닫는 집이 생기니 어제 자베시에서 전화로 자리를 확인해 두세요.</t>
        </is>
      </c>
      <c r="G90" s="78" t="inlineStr"/>
    </row>
    <row r="91">
      <c r="A91" s="78" t="inlineStr">
        <is>
          <t>9/24</t>
        </is>
      </c>
      <c r="B91" s="78" t="inlineStr">
        <is>
          <t>목</t>
        </is>
      </c>
      <c r="C91" s="78" t="inlineStr"/>
      <c r="D91" s="78" t="inlineStr"/>
      <c r="E91" s="78" t="inlineStr">
        <is>
          <t>주의</t>
        </is>
      </c>
      <c r="F91" s="78" t="inlineStr">
        <is>
          <t>둘째 날 샘은 9월 말에 말라 있었다는 기록이 있습니다. 물을 2리터 이상 들고 출발하세요. 마을 수도와 샘물은 괜찮지만 개울물은 방목 가축 때문에 걸러 마셔야 합니다.</t>
        </is>
      </c>
      <c r="G91" s="78" t="inlineStr"/>
    </row>
    <row r="92">
      <c r="A92" s="78" t="inlineStr">
        <is>
          <t>9/24</t>
        </is>
      </c>
      <c r="B92" s="78" t="inlineStr">
        <is>
          <t>목</t>
        </is>
      </c>
      <c r="C92" s="78" t="inlineStr"/>
      <c r="D92" s="78" t="inlineStr"/>
      <c r="E92" s="78" t="inlineStr">
        <is>
          <t>주의</t>
        </is>
      </c>
      <c r="F92" s="78" t="inlineStr">
        <is>
          <t>양치기 개가 이 코스에서 가장 흔한 위험입니다. 달려들어도 뛰지 말고 멈춰 서서 돌을 줍거나 던지는 시늉을 하세요.</t>
        </is>
      </c>
      <c r="G92" s="78" t="inlineStr"/>
    </row>
    <row r="93">
      <c r="A93" s="77" t="inlineStr">
        <is>
          <t>9/25</t>
        </is>
      </c>
      <c r="B93" s="77" t="inlineStr">
        <is>
          <t>금</t>
        </is>
      </c>
      <c r="C93" s="77" t="inlineStr">
        <is>
          <t>아디시 → 이프랄리 — 3일차 · 강 건너 고개 넘기</t>
        </is>
      </c>
      <c r="D93" s="77" t="inlineStr"/>
      <c r="E93" s="77" t="inlineStr"/>
      <c r="F93" s="77" t="inlineStr">
        <is>
          <t>가장 길고 가장 높은 날. 아침에 아디시 강을 말로 건너고, 해발 2,700m 안팎의 치훈데리 고개를 넘어 이프랄리로 내려갑니다.</t>
        </is>
      </c>
      <c r="G93" s="77" t="inlineStr"/>
    </row>
    <row r="94">
      <c r="A94" s="78" t="inlineStr">
        <is>
          <t>9/25</t>
        </is>
      </c>
      <c r="B94" s="78" t="inlineStr">
        <is>
          <t>금</t>
        </is>
      </c>
      <c r="C94" s="78" t="inlineStr"/>
      <c r="D94" s="78" t="inlineStr">
        <is>
          <t>07:00</t>
        </is>
      </c>
      <c r="E94" s="78" t="inlineStr"/>
      <c r="F94" s="78" t="inlineStr">
        <is>
          <t>조식 · 도시락 받기</t>
        </is>
      </c>
      <c r="G94" s="78" t="inlineStr"/>
    </row>
    <row r="95">
      <c r="A95" s="78" t="inlineStr">
        <is>
          <t>9/25</t>
        </is>
      </c>
      <c r="B95" s="78" t="inlineStr">
        <is>
          <t>금</t>
        </is>
      </c>
      <c r="C95" s="78" t="inlineStr"/>
      <c r="D95" s="78" t="inlineStr">
        <is>
          <t>07:30</t>
        </is>
      </c>
      <c r="E95" s="78" t="inlineStr"/>
      <c r="F95" s="78" t="inlineStr">
        <is>
          <t>3일차 출발</t>
        </is>
      </c>
      <c r="G95" s="78" t="inlineStr">
        <is>
          <t>18.7km · 오르막 860m · 내리막 1,069m · 5~8시간</t>
        </is>
      </c>
    </row>
    <row r="96">
      <c r="A96" s="78" t="inlineStr">
        <is>
          <t>9/25</t>
        </is>
      </c>
      <c r="B96" s="78" t="inlineStr">
        <is>
          <t>금</t>
        </is>
      </c>
      <c r="C96" s="78" t="inlineStr"/>
      <c r="D96" s="78" t="inlineStr">
        <is>
          <t>08:30</t>
        </is>
      </c>
      <c r="E96" s="78" t="inlineStr">
        <is>
          <t>말</t>
        </is>
      </c>
      <c r="F96" s="78" t="inlineStr">
        <is>
          <t>아디시 강 건너기</t>
        </is>
      </c>
      <c r="G96" s="78" t="inlineStr">
        <is>
          <t>[20~30라리] 다리가 없습니다. 말이 사람과 배낭을 태워 건너 줍니다 · 물은 아침이 가장 낮습니다 · 말이 없으면 50m 쯤 상류의 얕은 곳을 샌들과 스틱으로 건넙니다. 9월 중순~10월 기록은 정강이~무릎 깊이입니다</t>
        </is>
      </c>
    </row>
    <row r="97">
      <c r="A97" s="78" t="inlineStr">
        <is>
          <t>9/25</t>
        </is>
      </c>
      <c r="B97" s="78" t="inlineStr">
        <is>
          <t>금</t>
        </is>
      </c>
      <c r="C97" s="78" t="inlineStr"/>
      <c r="D97" s="78" t="inlineStr">
        <is>
          <t>11:30</t>
        </is>
      </c>
      <c r="E97" s="78" t="inlineStr"/>
      <c r="F97" s="78" t="inlineStr">
        <is>
          <t>치훈데리 고개</t>
        </is>
      </c>
      <c r="G97" s="78" t="inlineStr">
        <is>
          <t>해발 2,655~2,720m (자료마다 다릅니다) · 30분 옆 언덕(약 2,800m)에 오르면 빙하가 더 잘 보입니다</t>
        </is>
      </c>
    </row>
    <row r="98">
      <c r="A98" s="78" t="inlineStr">
        <is>
          <t>9/25</t>
        </is>
      </c>
      <c r="B98" s="78" t="inlineStr">
        <is>
          <t>금</t>
        </is>
      </c>
      <c r="C98" s="78" t="inlineStr"/>
      <c r="D98" s="78" t="inlineStr">
        <is>
          <t>12:00</t>
        </is>
      </c>
      <c r="E98" s="78" t="inlineStr"/>
      <c r="F98" s="78" t="inlineStr">
        <is>
          <t>고개에서 점심</t>
        </is>
      </c>
      <c r="G98" s="78" t="inlineStr"/>
    </row>
    <row r="99">
      <c r="A99" s="78" t="inlineStr">
        <is>
          <t>9/25</t>
        </is>
      </c>
      <c r="B99" s="78" t="inlineStr">
        <is>
          <t>금</t>
        </is>
      </c>
      <c r="C99" s="78" t="inlineStr"/>
      <c r="D99" s="78" t="inlineStr">
        <is>
          <t>12:30</t>
        </is>
      </c>
      <c r="E99" s="78" t="inlineStr"/>
      <c r="F99" s="78" t="inlineStr">
        <is>
          <t>하산 — 할데 계곡으로</t>
        </is>
      </c>
      <c r="G99" s="78" t="inlineStr"/>
    </row>
    <row r="100">
      <c r="A100" s="78" t="inlineStr">
        <is>
          <t>9/25</t>
        </is>
      </c>
      <c r="B100" s="78" t="inlineStr">
        <is>
          <t>금</t>
        </is>
      </c>
      <c r="C100" s="78" t="inlineStr"/>
      <c r="D100" s="78" t="inlineStr">
        <is>
          <t>15:00</t>
        </is>
      </c>
      <c r="E100" s="78" t="inlineStr"/>
      <c r="F100" s="78" t="inlineStr">
        <is>
          <t>이프랄리 도착</t>
        </is>
      </c>
      <c r="G100" s="78" t="inlineStr">
        <is>
          <t>게스트하우스 저녁·아침 포함 80~100라리</t>
        </is>
      </c>
    </row>
    <row r="101">
      <c r="A101" s="78" t="inlineStr">
        <is>
          <t>9/25</t>
        </is>
      </c>
      <c r="B101" s="78" t="inlineStr">
        <is>
          <t>금</t>
        </is>
      </c>
      <c r="C101" s="78" t="inlineStr"/>
      <c r="D101" s="78" t="inlineStr">
        <is>
          <t>18:00</t>
        </is>
      </c>
      <c r="E101" s="78" t="inlineStr"/>
      <c r="F101" s="78" t="inlineStr">
        <is>
          <t>내일 교통 확인</t>
        </is>
      </c>
      <c r="G101" s="78" t="inlineStr">
        <is>
          <t>우쉬굴리→메스티아 밴과 메스티아→주그디디 오후 편을 주인에게 물어 두세요 — 기사 연락처를 받으면 가장 확실합니다</t>
        </is>
      </c>
    </row>
    <row r="102">
      <c r="A102" s="78" t="inlineStr">
        <is>
          <t>9/25</t>
        </is>
      </c>
      <c r="B102" s="78" t="inlineStr">
        <is>
          <t>금</t>
        </is>
      </c>
      <c r="C102" s="78" t="inlineStr"/>
      <c r="D102" s="78" t="inlineStr">
        <is>
          <t>19:00</t>
        </is>
      </c>
      <c r="E102" s="78" t="inlineStr"/>
      <c r="F102" s="78" t="inlineStr">
        <is>
          <t>게스트하우스 저녁</t>
        </is>
      </c>
      <c r="G102" s="78" t="inlineStr"/>
    </row>
    <row r="103">
      <c r="A103" s="78" t="inlineStr">
        <is>
          <t>9/25</t>
        </is>
      </c>
      <c r="B103" s="78" t="inlineStr">
        <is>
          <t>금</t>
        </is>
      </c>
      <c r="C103" s="78" t="inlineStr"/>
      <c r="D103" s="78" t="inlineStr"/>
      <c r="E103" s="78" t="inlineStr">
        <is>
          <t>주의</t>
        </is>
      </c>
      <c r="F103" s="78" t="inlineStr">
        <is>
          <t>이 날이 나흘 중 가장 날씨를 탑니다. 고개는 메스티아보다 1,200m 가량 높고, 10월 초에는 눈이 남아 있었다는 기록이 있습니다. 9월 말 적설은 확인된 자료가 없으니 어제 저녁 예보를 보고 일찍 출발하세요. 이번 판에는 예비일이 없어, 여기서 하루를 기다리면 9/26 야간버스와 9/27 카즈베기가 함께 밀립니다.</t>
        </is>
      </c>
      <c r="G103" s="78" t="inlineStr"/>
    </row>
    <row r="104">
      <c r="A104" s="78" t="inlineStr">
        <is>
          <t>9/25</t>
        </is>
      </c>
      <c r="B104" s="78" t="inlineStr">
        <is>
          <t>금</t>
        </is>
      </c>
      <c r="C104" s="78" t="inlineStr"/>
      <c r="D104" s="78" t="inlineStr"/>
      <c r="E104" s="78" t="inlineStr">
        <is>
          <t>주의</t>
        </is>
      </c>
      <c r="F104" s="78" t="inlineStr">
        <is>
          <t>말은 어젯밤에 잡아 두세요. 성수기엔 강가에 말꾼이 기다리지만 9월 말에는 줄어듭니다. 요금은 20~30라리(2023~2026년 기록)이고, 게스트하우스를 통하면 조금 더 받을 수 있습니다.</t>
        </is>
      </c>
      <c r="G104" s="78" t="inlineStr"/>
    </row>
    <row r="105">
      <c r="A105" s="78" t="inlineStr">
        <is>
          <t>9/25</t>
        </is>
      </c>
      <c r="B105" s="78" t="inlineStr">
        <is>
          <t>금</t>
        </is>
      </c>
      <c r="C105" s="78" t="inlineStr"/>
      <c r="D105" s="78" t="inlineStr"/>
      <c r="E105" s="78" t="inlineStr">
        <is>
          <t>주의</t>
        </is>
      </c>
      <c r="F105" s="78" t="inlineStr">
        <is>
          <t>할데는 이프랄리보다 2.5km 안쪽이라 경치가 좋고 한적합니다. 대신 내일 우쉬굴리까지가 그만큼 길어져 밴 시간에 쫓기는 이번 일정에는 이프랄리가 맞습니다.</t>
        </is>
      </c>
      <c r="G105" s="78" t="inlineStr"/>
    </row>
    <row r="106">
      <c r="A106" s="77" t="inlineStr">
        <is>
          <t>9/26</t>
        </is>
      </c>
      <c r="B106" s="77" t="inlineStr">
        <is>
          <t>토</t>
        </is>
      </c>
      <c r="C106" s="77" t="inlineStr">
        <is>
          <t>이프랄리 → 우쉬굴리 → 주그디디 — 종주 끝 · 밤엔 야간버스</t>
        </is>
      </c>
      <c r="D106" s="77" t="inlineStr"/>
      <c r="E106" s="77" t="inlineStr"/>
      <c r="F106" s="77" t="inlineStr">
        <is>
          <t>오전에 우쉬굴리까지 걸어 종주를 끝내고, 밴으로 메스티아 · 마르슈르트카로 주그디디까지 내려갑니다. 이번 판에서 가장 빡빡한 이음새입니다.</t>
        </is>
      </c>
      <c r="G106" s="77" t="inlineStr"/>
    </row>
    <row r="107">
      <c r="A107" s="78" t="inlineStr">
        <is>
          <t>9/26</t>
        </is>
      </c>
      <c r="B107" s="78" t="inlineStr">
        <is>
          <t>토</t>
        </is>
      </c>
      <c r="C107" s="78" t="inlineStr"/>
      <c r="D107" s="78" t="inlineStr">
        <is>
          <t>06:30</t>
        </is>
      </c>
      <c r="E107" s="78" t="inlineStr"/>
      <c r="F107" s="78" t="inlineStr">
        <is>
          <t>조식</t>
        </is>
      </c>
      <c r="G107" s="78" t="inlineStr"/>
    </row>
    <row r="108">
      <c r="A108" s="78" t="inlineStr">
        <is>
          <t>9/26</t>
        </is>
      </c>
      <c r="B108" s="78" t="inlineStr">
        <is>
          <t>토</t>
        </is>
      </c>
      <c r="C108" s="78" t="inlineStr"/>
      <c r="D108" s="78" t="inlineStr">
        <is>
          <t>07:00</t>
        </is>
      </c>
      <c r="E108" s="78" t="inlineStr"/>
      <c r="F108" s="78" t="inlineStr">
        <is>
          <t>4일차 출발</t>
        </is>
      </c>
      <c r="G108" s="78" t="inlineStr">
        <is>
          <t>12.4km · 오르막 677m · 내리막 436m · 3.5~5시간 · 찻길 대신 다브베리 쪽 산허리 길로 갑니다</t>
        </is>
      </c>
    </row>
    <row r="109">
      <c r="A109" s="78" t="inlineStr">
        <is>
          <t>9/26</t>
        </is>
      </c>
      <c r="B109" s="78" t="inlineStr">
        <is>
          <t>토</t>
        </is>
      </c>
      <c r="C109" s="78" t="inlineStr"/>
      <c r="D109" s="78" t="inlineStr">
        <is>
          <t>11:00</t>
        </is>
      </c>
      <c r="E109" s="78" t="inlineStr"/>
      <c r="F109" s="78" t="inlineStr">
        <is>
          <t>우쉬굴리(차즈하시) 도착</t>
        </is>
      </c>
      <c r="G109" s="78" t="inlineStr">
        <is>
          <t>해발 약 2,160m · 석탑이 남은 마을 전체가 유네스코 세계유산입니다 · 마을 입구에서 2라리를 받는다는 기록이 있습니다</t>
        </is>
      </c>
    </row>
    <row r="110">
      <c r="A110" s="78" t="inlineStr">
        <is>
          <t>9/26</t>
        </is>
      </c>
      <c r="B110" s="78" t="inlineStr">
        <is>
          <t>토</t>
        </is>
      </c>
      <c r="C110" s="78" t="inlineStr"/>
      <c r="D110" s="78" t="inlineStr">
        <is>
          <t>11:15</t>
        </is>
      </c>
      <c r="E110" s="78" t="inlineStr"/>
      <c r="F110" s="78" t="inlineStr">
        <is>
          <t>라마리아 교회</t>
        </is>
      </c>
      <c r="G110" s="78" t="inlineStr">
        <is>
          <t>[무료] 마을 위 언덕 · 뒤로 슈하라(5,193m)가 섭니다 — 구름은 오후에 끼니 지금이 가장 좋습니다</t>
        </is>
      </c>
    </row>
    <row r="111">
      <c r="A111" s="78" t="inlineStr">
        <is>
          <t>9/26</t>
        </is>
      </c>
      <c r="B111" s="78" t="inlineStr">
        <is>
          <t>토</t>
        </is>
      </c>
      <c r="C111" s="78" t="inlineStr"/>
      <c r="D111" s="78" t="inlineStr">
        <is>
          <t>12:00</t>
        </is>
      </c>
      <c r="E111" s="78" t="inlineStr"/>
      <c r="F111" s="78" t="inlineStr">
        <is>
          <t>점심 · 메스티아행 밴 자리 잡기</t>
        </is>
      </c>
      <c r="G111" s="78" t="inlineStr">
        <is>
          <t>차즈하시와 무르크멜리 사이 다리, 차차 식당 옆에서 기다립니다 · 넷이 차면 떠납니다</t>
        </is>
      </c>
    </row>
    <row r="112">
      <c r="A112" s="78" t="inlineStr">
        <is>
          <t>9/26</t>
        </is>
      </c>
      <c r="B112" s="78" t="inlineStr">
        <is>
          <t>토</t>
        </is>
      </c>
      <c r="C112" s="78" t="inlineStr"/>
      <c r="D112" s="78" t="inlineStr">
        <is>
          <t>12:30</t>
        </is>
      </c>
      <c r="E112" s="78" t="inlineStr">
        <is>
          <t>공유 밴</t>
        </is>
      </c>
      <c r="F112" s="78" t="inlineStr">
        <is>
          <t>메스티아행</t>
        </is>
      </c>
      <c r="G112" s="78" t="inlineStr">
        <is>
          <t>[40라리] 1시간 반 안팎 · 정해진 출발 시각이 없습니다</t>
        </is>
      </c>
    </row>
    <row r="113">
      <c r="A113" s="78" t="inlineStr">
        <is>
          <t>9/26</t>
        </is>
      </c>
      <c r="B113" s="78" t="inlineStr">
        <is>
          <t>토</t>
        </is>
      </c>
      <c r="C113" s="78" t="inlineStr"/>
      <c r="D113" s="78" t="inlineStr">
        <is>
          <t>14:30</t>
        </is>
      </c>
      <c r="E113" s="78" t="inlineStr"/>
      <c r="F113" s="78" t="inlineStr">
        <is>
          <t>메스티아 도착</t>
        </is>
      </c>
      <c r="G113" s="78" t="inlineStr"/>
    </row>
    <row r="114">
      <c r="A114" s="78" t="inlineStr">
        <is>
          <t>9/26</t>
        </is>
      </c>
      <c r="B114" s="78" t="inlineStr">
        <is>
          <t>토</t>
        </is>
      </c>
      <c r="C114" s="78" t="inlineStr"/>
      <c r="D114" s="78" t="inlineStr">
        <is>
          <t>15:00</t>
        </is>
      </c>
      <c r="E114" s="78" t="inlineStr">
        <is>
          <t>마르슈르트카</t>
        </is>
      </c>
      <c r="F114" s="78" t="inlineStr">
        <is>
          <t>주그디디행</t>
        </is>
      </c>
      <c r="G114" s="78" t="inlineStr">
        <is>
          <t>[35라리] 확실한 정기편은 아침 08:00 뿐입니다. 오후 편은 9/23 에 메스티아에서 확인해 두세요 · 3시간 반~4시간</t>
        </is>
      </c>
    </row>
    <row r="115">
      <c r="A115" s="78" t="inlineStr">
        <is>
          <t>9/26</t>
        </is>
      </c>
      <c r="B115" s="78" t="inlineStr">
        <is>
          <t>토</t>
        </is>
      </c>
      <c r="C115" s="78" t="inlineStr"/>
      <c r="D115" s="78" t="inlineStr">
        <is>
          <t>19:00</t>
        </is>
      </c>
      <c r="E115" s="78" t="inlineStr"/>
      <c r="F115" s="78" t="inlineStr">
        <is>
          <t>주그디디 도착 · 저녁</t>
        </is>
      </c>
      <c r="G115" s="78" t="inlineStr"/>
    </row>
    <row r="116">
      <c r="A116" s="78" t="inlineStr">
        <is>
          <t>9/26</t>
        </is>
      </c>
      <c r="B116" s="78" t="inlineStr">
        <is>
          <t>토</t>
        </is>
      </c>
      <c r="C116" s="78" t="inlineStr"/>
      <c r="D116" s="78" t="inlineStr">
        <is>
          <t>23:30</t>
        </is>
      </c>
      <c r="E116" s="78" t="inlineStr"/>
      <c r="F116" s="78" t="inlineStr">
        <is>
          <t>주그디디역에서 대기</t>
        </is>
      </c>
      <c r="G116" s="78" t="inlineStr">
        <is>
          <t>야간버스는 기차역 앞에서 섭니다</t>
        </is>
      </c>
    </row>
    <row r="117">
      <c r="A117" s="78" t="inlineStr">
        <is>
          <t>9/26</t>
        </is>
      </c>
      <c r="B117" s="78" t="inlineStr">
        <is>
          <t>토</t>
        </is>
      </c>
      <c r="C117" s="78" t="inlineStr"/>
      <c r="D117" s="78" t="inlineStr">
        <is>
          <t>23:59</t>
        </is>
      </c>
      <c r="E117" s="78" t="inlineStr">
        <is>
          <t>야간버스</t>
        </is>
      </c>
      <c r="F117" s="78" t="inlineStr">
        <is>
          <t>트빌리시행</t>
        </is>
      </c>
      <c r="G117" s="78" t="inlineStr">
        <is>
          <t>[35라리] 약 5시간 20분 · 05:20 오르타찰라 도착</t>
        </is>
      </c>
    </row>
    <row r="118">
      <c r="A118" s="78" t="inlineStr">
        <is>
          <t>9/26</t>
        </is>
      </c>
      <c r="B118" s="78" t="inlineStr">
        <is>
          <t>토</t>
        </is>
      </c>
      <c r="C118" s="78" t="inlineStr"/>
      <c r="D118" s="78" t="inlineStr"/>
      <c r="E118" s="78" t="inlineStr">
        <is>
          <t>주의</t>
        </is>
      </c>
      <c r="F118" s="78" t="inlineStr">
        <is>
          <t>메스티아→주그디디 오후 편이 이 날의 도박입니다. 확실한 정기편은 아침 08:00이고 오후 편은 성수기 기록만 있습니다. 없으면 택시를 나눌 사람을 메스티아에서 찾아야 합니다 — 차 한 대 약 300라리라 혼자 내면 예비비를 넘습니다. 9/23 메스티아를 지날 때 먼저 확인하세요.</t>
        </is>
      </c>
      <c r="G118" s="78" t="inlineStr"/>
    </row>
    <row r="119">
      <c r="A119" s="78" t="inlineStr">
        <is>
          <t>9/26</t>
        </is>
      </c>
      <c r="B119" s="78" t="inlineStr">
        <is>
          <t>토</t>
        </is>
      </c>
      <c r="C119" s="78" t="inlineStr"/>
      <c r="D119" s="78" t="inlineStr"/>
      <c r="E119" s="78" t="inlineStr">
        <is>
          <t>주의</t>
        </is>
      </c>
      <c r="F119" s="78" t="inlineStr">
        <is>
          <t>우쉬굴리 밴도 시각이 정해져 있지 않습니다. 넷이 차야 떠나고, 예전의 오후 3시 복귀 밴은 믿기 어렵다는 2026년 자료가 있습니다. 그래서 이프랄리를 07:00에 나서 정오 전에 우쉬굴리에 닿는 것이 요점입니다. 어젯밤 받아 둔 기사 연락처로 미리 잡아 두면 가장 확실합니다.</t>
        </is>
      </c>
      <c r="G119" s="78" t="inlineStr"/>
    </row>
    <row r="120">
      <c r="A120" s="78" t="inlineStr">
        <is>
          <t>9/26</t>
        </is>
      </c>
      <c r="B120" s="78" t="inlineStr">
        <is>
          <t>토</t>
        </is>
      </c>
      <c r="C120" s="78" t="inlineStr"/>
      <c r="D120" s="78" t="inlineStr"/>
      <c r="E120" s="78" t="inlineStr">
        <is>
          <t>주의</t>
        </is>
      </c>
      <c r="F120" s="78" t="inlineStr">
        <is>
          <t>돌아오는 야간버스가 안 뜨면 주그디디에서 하룻밤 자고 9/27 아침 트빌리시행 미니버스나 기차(약 6시간, 시각은 현지 확인)를 탑니다. 카즈베기에는 9/27 저녁에야 닿아 게르게티는 9/28 오전 한 번만 남습니다.</t>
        </is>
      </c>
      <c r="G120" s="78" t="inlineStr"/>
    </row>
    <row r="121">
      <c r="A121" s="79" t="inlineStr"/>
      <c r="B121" s="79" t="inlineStr"/>
      <c r="C121" s="79" t="inlineStr">
        <is>
          <t>✈ 이동</t>
        </is>
      </c>
      <c r="D121" s="79" t="inlineStr"/>
      <c r="E121" s="79" t="inlineStr"/>
      <c r="F121" s="79" t="inlineStr">
        <is>
          <t>9/27 새벽 — 주그디디 → 트빌리시 야간버스</t>
        </is>
      </c>
      <c r="G121" s="79" t="inlineStr">
        <is>
          <t>23:59 주그디디역 발, 05:20 오르타찰라 도착. 내려서 바로 디두베로 옮겨 카즈베기행 마르슈르트카를 탑니다 — 나흘을 걸은 다음 날이라 이번 여행에서 몸이 가장 힘든 아침입니다.</t>
        </is>
      </c>
    </row>
    <row r="122">
      <c r="A122" s="77" t="inlineStr">
        <is>
          <t>9/27</t>
        </is>
      </c>
      <c r="B122" s="77" t="inlineStr">
        <is>
          <t>일</t>
        </is>
      </c>
      <c r="C122" s="77" t="inlineStr">
        <is>
          <t>야간버스 → 군사도로 → 카즈베기 — 1박</t>
        </is>
      </c>
      <c r="D122" s="77" t="inlineStr"/>
      <c r="E122" s="77" t="inlineStr"/>
      <c r="F122" s="77" t="inlineStr">
        <is>
          <t>새벽에 트빌리시에 내려 그대로 북쪽으로 올라갑니다. 카즈베기가 1박이라 게르게티는 오늘 오후가 두 번 중 첫 번째입니다.</t>
        </is>
      </c>
      <c r="G122" s="77" t="inlineStr"/>
    </row>
    <row r="123">
      <c r="A123" s="78" t="inlineStr">
        <is>
          <t>9/27</t>
        </is>
      </c>
      <c r="B123" s="78" t="inlineStr">
        <is>
          <t>일</t>
        </is>
      </c>
      <c r="C123" s="78" t="inlineStr"/>
      <c r="D123" s="78" t="inlineStr">
        <is>
          <t>05:20</t>
        </is>
      </c>
      <c r="E123" s="78" t="inlineStr"/>
      <c r="F123" s="78" t="inlineStr">
        <is>
          <t>트빌리시 오르타찰라 도착</t>
        </is>
      </c>
      <c r="G123" s="78" t="inlineStr">
        <is>
          <t>야간버스에서 내립니다</t>
        </is>
      </c>
    </row>
    <row r="124">
      <c r="A124" s="78" t="inlineStr">
        <is>
          <t>9/27</t>
        </is>
      </c>
      <c r="B124" s="78" t="inlineStr">
        <is>
          <t>일</t>
        </is>
      </c>
      <c r="C124" s="78" t="inlineStr"/>
      <c r="D124" s="78" t="inlineStr">
        <is>
          <t>05:40</t>
        </is>
      </c>
      <c r="E124" s="78" t="inlineStr">
        <is>
          <t>택시</t>
        </is>
      </c>
      <c r="F124" s="78" t="inlineStr">
        <is>
          <t>디두베 터미널로</t>
        </is>
      </c>
      <c r="G124" s="78" t="inlineStr">
        <is>
          <t>[10라리] 지하철 첫차는 06:00 · 오르타찰라에서는 택시가 빠릅니다</t>
        </is>
      </c>
    </row>
    <row r="125">
      <c r="A125" s="78" t="inlineStr">
        <is>
          <t>9/27</t>
        </is>
      </c>
      <c r="B125" s="78" t="inlineStr">
        <is>
          <t>일</t>
        </is>
      </c>
      <c r="C125" s="78" t="inlineStr"/>
      <c r="D125" s="78" t="inlineStr">
        <is>
          <t>06:30</t>
        </is>
      </c>
      <c r="E125" s="78" t="inlineStr"/>
      <c r="F125" s="78" t="inlineStr">
        <is>
          <t>터미널 근처에서 아침 · 세수</t>
        </is>
      </c>
      <c r="G125" s="78" t="inlineStr">
        <is>
          <t>디두베 시장통에 이른 아침을 파는 식당이 있습니다</t>
        </is>
      </c>
    </row>
    <row r="126">
      <c r="A126" s="78" t="inlineStr">
        <is>
          <t>9/27</t>
        </is>
      </c>
      <c r="B126" s="78" t="inlineStr">
        <is>
          <t>일</t>
        </is>
      </c>
      <c r="C126" s="78" t="inlineStr"/>
      <c r="D126" s="78" t="inlineStr">
        <is>
          <t>08:00</t>
        </is>
      </c>
      <c r="E126" s="78" t="inlineStr">
        <is>
          <t>마르슈르트카</t>
        </is>
      </c>
      <c r="F126" s="78" t="inlineStr">
        <is>
          <t>스테판츠민다행</t>
        </is>
      </c>
      <c r="G126" s="78" t="inlineStr">
        <is>
          <t>[15라리] 3시간 반~4시간 · 수시 운행이라 자리가 차면 바로 떠납니다</t>
        </is>
      </c>
    </row>
    <row r="127">
      <c r="A127" s="78" t="inlineStr">
        <is>
          <t>9/27</t>
        </is>
      </c>
      <c r="B127" s="78" t="inlineStr">
        <is>
          <t>일</t>
        </is>
      </c>
      <c r="C127" s="78" t="inlineStr"/>
      <c r="D127" s="78" t="inlineStr">
        <is>
          <t>12:00</t>
        </is>
      </c>
      <c r="E127" s="78" t="inlineStr"/>
      <c r="F127" s="78" t="inlineStr">
        <is>
          <t>스테판츠민다 도착 · 체크인</t>
        </is>
      </c>
      <c r="G127" s="78" t="inlineStr"/>
    </row>
    <row r="128">
      <c r="A128" s="78" t="inlineStr">
        <is>
          <t>9/27</t>
        </is>
      </c>
      <c r="B128" s="78" t="inlineStr">
        <is>
          <t>일</t>
        </is>
      </c>
      <c r="C128" s="78" t="inlineStr"/>
      <c r="D128" s="78" t="inlineStr">
        <is>
          <t>13:00</t>
        </is>
      </c>
      <c r="E128" s="78" t="inlineStr"/>
      <c r="F128" s="78" t="inlineStr">
        <is>
          <t>마을 점심</t>
        </is>
      </c>
      <c r="G128" s="78" t="inlineStr"/>
    </row>
    <row r="129">
      <c r="A129" s="78" t="inlineStr">
        <is>
          <t>9/27</t>
        </is>
      </c>
      <c r="B129" s="78" t="inlineStr">
        <is>
          <t>일</t>
        </is>
      </c>
      <c r="C129" s="78" t="inlineStr"/>
      <c r="D129" s="78" t="inlineStr">
        <is>
          <t>14:00</t>
        </is>
      </c>
      <c r="E129" s="78" t="inlineStr">
        <is>
          <t>4WD</t>
        </is>
      </c>
      <c r="F129" s="78" t="inlineStr">
        <is>
          <t>게르게티 삼위일체 교회까지</t>
        </is>
      </c>
      <c r="G129" s="78" t="inlineStr">
        <is>
          <t>[25라리] 1차 시도. 흐려도 내일 오전이 한 번 더 남아 있습니다 — 다만 그게 마지막입니다</t>
        </is>
      </c>
    </row>
    <row r="130">
      <c r="A130" s="78" t="inlineStr">
        <is>
          <t>9/27</t>
        </is>
      </c>
      <c r="B130" s="78" t="inlineStr">
        <is>
          <t>일</t>
        </is>
      </c>
      <c r="C130" s="78" t="inlineStr"/>
      <c r="D130" s="78" t="inlineStr">
        <is>
          <t>15:00</t>
        </is>
      </c>
      <c r="E130" s="78" t="inlineStr"/>
      <c r="F130" s="78" t="inlineStr">
        <is>
          <t>게르게티 삼위일체 교회 · 카즈베기 산 조망</t>
        </is>
      </c>
      <c r="G130" s="78" t="inlineStr">
        <is>
          <t>[무료] 1차 시도. 흐려도 내일 오전이 한 번 더 남아 있습니다 — 다만 그게 마지막입니다</t>
        </is>
      </c>
    </row>
    <row r="131">
      <c r="A131" s="78" t="inlineStr">
        <is>
          <t>9/27</t>
        </is>
      </c>
      <c r="B131" s="78" t="inlineStr">
        <is>
          <t>일</t>
        </is>
      </c>
      <c r="C131" s="78" t="inlineStr"/>
      <c r="D131" s="78" t="inlineStr">
        <is>
          <t>16:30</t>
        </is>
      </c>
      <c r="E131" s="78" t="inlineStr"/>
      <c r="F131" s="78" t="inlineStr">
        <is>
          <t>도보 하산</t>
        </is>
      </c>
      <c r="G131" s="78" t="inlineStr">
        <is>
          <t>2km · 내리막 400m · 한 시간</t>
        </is>
      </c>
    </row>
    <row r="132">
      <c r="A132" s="78" t="inlineStr">
        <is>
          <t>9/27</t>
        </is>
      </c>
      <c r="B132" s="78" t="inlineStr">
        <is>
          <t>일</t>
        </is>
      </c>
      <c r="C132" s="78" t="inlineStr"/>
      <c r="D132" s="78" t="inlineStr">
        <is>
          <t>18:00</t>
        </is>
      </c>
      <c r="E132" s="78" t="inlineStr"/>
      <c r="F132" s="78" t="inlineStr">
        <is>
          <t>마을 산책 · 하늘 상태 확인</t>
        </is>
      </c>
      <c r="G132" s="78" t="inlineStr">
        <is>
          <t>내일 오전이 게르게티 마지막 기회라 저녁 예보를 꼭 보세요</t>
        </is>
      </c>
    </row>
    <row r="133">
      <c r="A133" s="78" t="inlineStr">
        <is>
          <t>9/27</t>
        </is>
      </c>
      <c r="B133" s="78" t="inlineStr">
        <is>
          <t>일</t>
        </is>
      </c>
      <c r="C133" s="78" t="inlineStr"/>
      <c r="D133" s="78" t="inlineStr">
        <is>
          <t>19:30</t>
        </is>
      </c>
      <c r="E133" s="78" t="inlineStr"/>
      <c r="F133" s="78" t="inlineStr">
        <is>
          <t>게스트하우스 저녁</t>
        </is>
      </c>
      <c r="G133" s="78" t="inlineStr"/>
    </row>
    <row r="134">
      <c r="A134" s="78" t="inlineStr">
        <is>
          <t>9/27</t>
        </is>
      </c>
      <c r="B134" s="78" t="inlineStr">
        <is>
          <t>일</t>
        </is>
      </c>
      <c r="C134" s="78" t="inlineStr"/>
      <c r="D134" s="78" t="inlineStr"/>
      <c r="E134" s="78" t="inlineStr">
        <is>
          <t>주의</t>
        </is>
      </c>
      <c r="F134" s="78" t="inlineStr">
        <is>
          <t>카즈베기를 1박으로 줄인 것이 이번 판의 가장 큰 판돈입니다. 게르게티는 구름이 걷혀야 의미가 있는데 시도가 오늘 오후와 내일 오전 두 번뿐입니다. 둘 다 흐리면 이 여행의 대표 장면이 사라집니다. 그 대신 예레반이 3박이 되어 가르니·게하르트를 종일 코스로 볼 수 있게 됐습니다 — 어느 쪽에 걸지는 취향입니다. 산에 더 걸고 싶으면 카즈베기를 2박으로 되돌리세요.</t>
        </is>
      </c>
      <c r="G134" s="78" t="inlineStr"/>
    </row>
    <row r="135">
      <c r="A135" s="78" t="inlineStr">
        <is>
          <t>9/27</t>
        </is>
      </c>
      <c r="B135" s="78" t="inlineStr">
        <is>
          <t>일</t>
        </is>
      </c>
      <c r="C135" s="78" t="inlineStr"/>
      <c r="D135" s="78" t="inlineStr"/>
      <c r="E135" s="78" t="inlineStr">
        <is>
          <t>주의</t>
        </is>
      </c>
      <c r="F135" s="78" t="inlineStr">
        <is>
          <t>나흘을 걷고 야간버스에서 내려 바로 4시간을 더 가는 날입니다. 오늘이 이번 여행에서 몸이 가장 힘든 날이에요. 마르슈르트카에서 자 두고, 도착 후 게르게티를 오후로 미룬 것도 그래서입니다. 다만 이번엔 오늘을 건너뛰면 기회가 한 번밖에 안 남으니 날이 맑으면 무리해서라도 올라가세요.</t>
        </is>
      </c>
      <c r="G135" s="78" t="inlineStr"/>
    </row>
    <row r="136">
      <c r="A136" s="78" t="inlineStr">
        <is>
          <t>9/27</t>
        </is>
      </c>
      <c r="B136" s="78" t="inlineStr">
        <is>
          <t>일</t>
        </is>
      </c>
      <c r="C136" s="78" t="inlineStr"/>
      <c r="D136" s="78" t="inlineStr"/>
      <c r="E136" s="78" t="inlineStr">
        <is>
          <t>주의</t>
        </is>
      </c>
      <c r="F136" s="78" t="inlineStr">
        <is>
          <t>아나누리 요새와 구다우리 전망대에서 내리지 마세요. 마르슈르트카는 정차하지 않고, 억지로 내리면 다음 차가 언제 올지 알 수 없습니다. 차창 밖으로 보는 것으로 충분합니다 — 왼쪽 창가에 앉으면 아나누리 저수지가 잘 보입니다.</t>
        </is>
      </c>
      <c r="G136" s="78" t="inlineStr"/>
    </row>
    <row r="137">
      <c r="A137" s="77" t="inlineStr">
        <is>
          <t>9/28</t>
        </is>
      </c>
      <c r="B137" s="77" t="inlineStr">
        <is>
          <t>월</t>
        </is>
      </c>
      <c r="C137" s="77" t="inlineStr">
        <is>
          <t>카즈베기 → 트빌리시 — 오전이 마지막 기회</t>
        </is>
      </c>
      <c r="D137" s="77" t="inlineStr"/>
      <c r="E137" s="77" t="inlineStr"/>
      <c r="F137" s="77" t="inlineStr">
        <is>
          <t>오전에 게르게티를 한 번 더 노리고 오후 편으로 내려옵니다. 오늘 못 보면 이번 여행에서는 끝입니다.</t>
        </is>
      </c>
      <c r="G137" s="77" t="inlineStr"/>
    </row>
    <row r="138">
      <c r="A138" s="78" t="inlineStr">
        <is>
          <t>9/28</t>
        </is>
      </c>
      <c r="B138" s="78" t="inlineStr">
        <is>
          <t>월</t>
        </is>
      </c>
      <c r="C138" s="78" t="inlineStr"/>
      <c r="D138" s="78" t="inlineStr">
        <is>
          <t>08:00</t>
        </is>
      </c>
      <c r="E138" s="78" t="inlineStr"/>
      <c r="F138" s="78" t="inlineStr">
        <is>
          <t>조식 · 하늘 확인</t>
        </is>
      </c>
      <c r="G138" s="78" t="inlineStr"/>
    </row>
    <row r="139">
      <c r="A139" s="78" t="inlineStr">
        <is>
          <t>9/28</t>
        </is>
      </c>
      <c r="B139" s="78" t="inlineStr">
        <is>
          <t>월</t>
        </is>
      </c>
      <c r="C139" s="78" t="inlineStr"/>
      <c r="D139" s="78" t="inlineStr">
        <is>
          <t>09:00</t>
        </is>
      </c>
      <c r="E139" s="78" t="inlineStr"/>
      <c r="F139" s="78" t="inlineStr">
        <is>
          <t>게르게티 2차이자 마지막 시도 — 또는 마을 뒷길 산책</t>
        </is>
      </c>
      <c r="G139" s="78" t="inlineStr">
        <is>
          <t>어제 봤다면 늦잠을 자고 마을에서 쉬세요 · 못 봤다면 걸어서라도 올라갈 값이 있습니다. 왕복 3시간이니 12시 체크아웃에 맞습니다</t>
        </is>
      </c>
    </row>
    <row r="140">
      <c r="A140" s="78" t="inlineStr">
        <is>
          <t>9/28</t>
        </is>
      </c>
      <c r="B140" s="78" t="inlineStr">
        <is>
          <t>월</t>
        </is>
      </c>
      <c r="C140" s="78" t="inlineStr"/>
      <c r="D140" s="78" t="inlineStr">
        <is>
          <t>12:00</t>
        </is>
      </c>
      <c r="E140" s="78" t="inlineStr"/>
      <c r="F140" s="78" t="inlineStr">
        <is>
          <t>체크아웃 · 마을 점심</t>
        </is>
      </c>
      <c r="G140" s="78" t="inlineStr"/>
    </row>
    <row r="141">
      <c r="A141" s="78" t="inlineStr">
        <is>
          <t>9/28</t>
        </is>
      </c>
      <c r="B141" s="78" t="inlineStr">
        <is>
          <t>월</t>
        </is>
      </c>
      <c r="C141" s="78" t="inlineStr"/>
      <c r="D141" s="78" t="inlineStr">
        <is>
          <t>13:30</t>
        </is>
      </c>
      <c r="E141" s="78" t="inlineStr">
        <is>
          <t>마르슈르트카</t>
        </is>
      </c>
      <c r="F141" s="78" t="inlineStr">
        <is>
          <t>트빌리시행</t>
        </is>
      </c>
      <c r="G141" s="78" t="inlineStr">
        <is>
          <t>15라리 · 3~3.5시간 · 카즈베기 출발은 07·08·09·10·11·12·13:30·14·15:30·17·18시</t>
        </is>
      </c>
    </row>
    <row r="142">
      <c r="A142" s="78" t="inlineStr">
        <is>
          <t>9/28</t>
        </is>
      </c>
      <c r="B142" s="78" t="inlineStr">
        <is>
          <t>월</t>
        </is>
      </c>
      <c r="C142" s="78" t="inlineStr"/>
      <c r="D142" s="78" t="inlineStr">
        <is>
          <t>17:00</t>
        </is>
      </c>
      <c r="E142" s="78" t="inlineStr"/>
      <c r="F142" s="78" t="inlineStr">
        <is>
          <t>디두베 도착 · 지하철로 시내 · 체크인 · 맡긴 큰 짐 찾기</t>
        </is>
      </c>
      <c r="G142" s="78" t="inlineStr"/>
    </row>
    <row r="143">
      <c r="A143" s="78" t="inlineStr">
        <is>
          <t>9/28</t>
        </is>
      </c>
      <c r="B143" s="78" t="inlineStr">
        <is>
          <t>월</t>
        </is>
      </c>
      <c r="C143" s="78" t="inlineStr"/>
      <c r="D143" s="78" t="inlineStr">
        <is>
          <t>18:00</t>
        </is>
      </c>
      <c r="E143" s="78" t="inlineStr"/>
      <c r="F143" s="78" t="inlineStr">
        <is>
          <t>루스타벨리 거리 산책</t>
        </is>
      </c>
      <c r="G143" s="78" t="inlineStr">
        <is>
          <t>오페라극장·의회 앞 가로수길. 트빌리시의 현대적인 쪽입니다</t>
        </is>
      </c>
    </row>
    <row r="144">
      <c r="A144" s="78" t="inlineStr">
        <is>
          <t>9/28</t>
        </is>
      </c>
      <c r="B144" s="78" t="inlineStr">
        <is>
          <t>월</t>
        </is>
      </c>
      <c r="C144" s="78" t="inlineStr"/>
      <c r="D144" s="78" t="inlineStr">
        <is>
          <t>19:30</t>
        </is>
      </c>
      <c r="E144" s="78" t="inlineStr"/>
      <c r="F144" s="78" t="inlineStr">
        <is>
          <t>저녁</t>
        </is>
      </c>
      <c r="G144" s="78" t="inlineStr"/>
    </row>
    <row r="145">
      <c r="A145" s="78" t="inlineStr">
        <is>
          <t>9/28</t>
        </is>
      </c>
      <c r="B145" s="78" t="inlineStr">
        <is>
          <t>월</t>
        </is>
      </c>
      <c r="C145" s="78" t="inlineStr"/>
      <c r="D145" s="78" t="inlineStr">
        <is>
          <t>21:00</t>
        </is>
      </c>
      <c r="E145" s="78" t="inlineStr"/>
      <c r="F145" s="78" t="inlineStr">
        <is>
          <t>내일 준비 — 오르타찰라 합승택시 08:20 편 확인</t>
        </is>
      </c>
      <c r="G145" s="78" t="inlineStr">
        <is>
          <t>아르메니아 드람은 국경이나 알라베르디에서 바꾸는 게 낫습니다</t>
        </is>
      </c>
    </row>
    <row r="146">
      <c r="A146" s="78" t="inlineStr">
        <is>
          <t>9/28</t>
        </is>
      </c>
      <c r="B146" s="78" t="inlineStr">
        <is>
          <t>월</t>
        </is>
      </c>
      <c r="C146" s="78" t="inlineStr"/>
      <c r="D146" s="78" t="inlineStr"/>
      <c r="E146" s="78" t="inlineStr">
        <is>
          <t>주의</t>
        </is>
      </c>
      <c r="F146" s="78" t="inlineStr">
        <is>
          <t>오전을 비워 둔 것이 이 날의 요점입니다. 어제 게르게티를 봤다면 늦잠을 자고 마을에서 쉬면 되고, 못 봤다면 마지막으로 한 번 더 올라갈 수 있습니다. 어느 쪽이든 13:30 편에 맞출 수 있게 시간을 잡았습니다.</t>
        </is>
      </c>
      <c r="G146" s="78" t="inlineStr"/>
    </row>
    <row r="147">
      <c r="A147" s="78" t="inlineStr">
        <is>
          <t>9/28</t>
        </is>
      </c>
      <c r="B147" s="78" t="inlineStr">
        <is>
          <t>월</t>
        </is>
      </c>
      <c r="C147" s="78" t="inlineStr"/>
      <c r="D147" s="78" t="inlineStr"/>
      <c r="E147" s="78" t="inlineStr">
        <is>
          <t>주의</t>
        </is>
      </c>
      <c r="F147" s="78" t="inlineStr">
        <is>
          <t>이 날만 지도가 없습니다. 오전은 어제 지도와 같은 범위이고 오후는 통째로 이동이라, 새로 그려도 같은 그림이 한 장 더 생길 뿐입니다.</t>
        </is>
      </c>
      <c r="G147" s="78" t="inlineStr"/>
    </row>
    <row r="148">
      <c r="A148" s="78" t="inlineStr">
        <is>
          <t>9/28</t>
        </is>
      </c>
      <c r="B148" s="78" t="inlineStr">
        <is>
          <t>월</t>
        </is>
      </c>
      <c r="C148" s="78" t="inlineStr"/>
      <c r="D148" s="78" t="inlineStr"/>
      <c r="E148" s="78" t="inlineStr">
        <is>
          <t>주의</t>
        </is>
      </c>
      <c r="F148" s="78" t="inlineStr">
        <is>
          <t>9/22 에 맡긴 큰 짐을 오늘 찾습니다 — 9/20·21 과 같은 숙소를 잡으면 가장 간단합니다. 트빌리시 숙소는 오늘 하룻밤만 잡으세요. 내일 아침 오르타찰라에서 아르메니아로 넘어갑니다. 짐을 다 풀지 말고, 국경에서 쓸 여권과 현금을 꺼내기 쉬운 곳에 두세요.</t>
        </is>
      </c>
      <c r="G148" s="78" t="inlineStr"/>
    </row>
    <row r="149">
      <c r="A149" s="79" t="inlineStr"/>
      <c r="B149" s="79" t="inlineStr"/>
      <c r="C149" s="79" t="inlineStr">
        <is>
          <t>✈ 이동</t>
        </is>
      </c>
      <c r="D149" s="79" t="inlineStr"/>
      <c r="E149" s="79" t="inlineStr"/>
      <c r="F149" s="79" t="inlineStr">
        <is>
          <t>9/29 — 조지아 → 아르메니아 (사다클로 국경)</t>
        </is>
      </c>
      <c r="G149" s="79" t="inlineStr">
        <is>
          <t>오르타찰라 08:20 합승택시로 국경까지 2시간. 도보로 건너 반대편에서 다시 타고 알라베르디 하차. 한국 여권은 아르메니아 180일 무비자입니다.</t>
        </is>
      </c>
    </row>
    <row r="150">
      <c r="A150" s="77" t="inlineStr">
        <is>
          <t>9/29</t>
        </is>
      </c>
      <c r="B150" s="77" t="inlineStr">
        <is>
          <t>화</t>
        </is>
      </c>
      <c r="C150" s="77" t="inlineStr">
        <is>
          <t>국경 → 알라베르디 — 택시 한 대로 수도원 두 곳</t>
        </is>
      </c>
      <c r="D150" s="77" t="inlineStr"/>
      <c r="E150" s="77" t="inlineStr"/>
      <c r="F150" s="77" t="inlineStr">
        <is>
          <t>오전 정시편으로 국경을 넘고, 도착하자마자 택시 한 대를 잡아 사나힌과 하흐파트를 한 번에 돕니다.</t>
        </is>
      </c>
      <c r="G150" s="77" t="inlineStr"/>
    </row>
    <row r="151">
      <c r="A151" s="78" t="inlineStr">
        <is>
          <t>9/29</t>
        </is>
      </c>
      <c r="B151" s="78" t="inlineStr">
        <is>
          <t>화</t>
        </is>
      </c>
      <c r="C151" s="78" t="inlineStr"/>
      <c r="D151" s="78" t="inlineStr">
        <is>
          <t>07:30</t>
        </is>
      </c>
      <c r="E151" s="78" t="inlineStr">
        <is>
          <t>지하철·도보</t>
        </is>
      </c>
      <c r="F151" s="78" t="inlineStr">
        <is>
          <t>체크아웃 · 오르타찰라 터미널로</t>
        </is>
      </c>
      <c r="G151" s="78" t="inlineStr">
        <is>
          <t>[1라리]</t>
        </is>
      </c>
    </row>
    <row r="152">
      <c r="A152" s="78" t="inlineStr">
        <is>
          <t>9/29</t>
        </is>
      </c>
      <c r="B152" s="78" t="inlineStr">
        <is>
          <t>화</t>
        </is>
      </c>
      <c r="C152" s="78" t="inlineStr"/>
      <c r="D152" s="78" t="inlineStr">
        <is>
          <t>08:20</t>
        </is>
      </c>
      <c r="E152" s="78" t="inlineStr">
        <is>
          <t>합승택시</t>
        </is>
      </c>
      <c r="F152" s="78" t="inlineStr">
        <is>
          <t>예레반행 — 알라베르디 하차 요청</t>
        </is>
      </c>
      <c r="G152" s="78" t="inlineStr">
        <is>
          <t>[40라리] 08:20과 10:20은 승객 수와 상관없이 정시에 떠납니다. 그 뒤로는 차면 출발합니다 · 기사에게 미리 알라베르디에서 내린다고 말해 두세요</t>
        </is>
      </c>
    </row>
    <row r="153">
      <c r="A153" s="78" t="inlineStr">
        <is>
          <t>9/29</t>
        </is>
      </c>
      <c r="B153" s="78" t="inlineStr">
        <is>
          <t>화</t>
        </is>
      </c>
      <c r="C153" s="78" t="inlineStr"/>
      <c r="D153" s="78" t="inlineStr">
        <is>
          <t>10:30</t>
        </is>
      </c>
      <c r="E153" s="78" t="inlineStr"/>
      <c r="F153" s="78" t="inlineStr">
        <is>
          <t>사다클로 국경</t>
        </is>
      </c>
      <c r="G153" s="78" t="inlineStr">
        <is>
          <t>한국 여권은 아르메니아 180일 무비자 · 도보로 건너 반대편에서 다시 탑니다</t>
        </is>
      </c>
    </row>
    <row r="154">
      <c r="A154" s="78" t="inlineStr">
        <is>
          <t>9/29</t>
        </is>
      </c>
      <c r="B154" s="78" t="inlineStr">
        <is>
          <t>화</t>
        </is>
      </c>
      <c r="C154" s="78" t="inlineStr"/>
      <c r="D154" s="78" t="inlineStr">
        <is>
          <t>12:30</t>
        </is>
      </c>
      <c r="E154" s="78" t="inlineStr"/>
      <c r="F154" s="78" t="inlineStr">
        <is>
          <t>알라베르디 도착 · 드람 환전 · 체크인</t>
        </is>
      </c>
      <c r="G154" s="78" t="inlineStr">
        <is>
          <t>국경 대기에 따라 13:30까지 밀릴 수 있습니다 — 그러면 아래 시각을 통째로 한 시간씩 미루세요</t>
        </is>
      </c>
    </row>
    <row r="155">
      <c r="A155" s="78" t="inlineStr">
        <is>
          <t>9/29</t>
        </is>
      </c>
      <c r="B155" s="78" t="inlineStr">
        <is>
          <t>화</t>
        </is>
      </c>
      <c r="C155" s="78" t="inlineStr"/>
      <c r="D155" s="78" t="inlineStr">
        <is>
          <t>13:00</t>
        </is>
      </c>
      <c r="E155" s="78" t="inlineStr">
        <is>
          <t>택시</t>
        </is>
      </c>
      <c r="F155" s="78" t="inlineStr">
        <is>
          <t>택시 한 대 흥정 — 사나힌 · 하흐파트</t>
        </is>
      </c>
      <c r="G155" s="78" t="inlineStr">
        <is>
          <t>[6,000드람] 대기 포함 · 두 곳을 돌고 알라베르디로 돌아오는 값입니다</t>
        </is>
      </c>
    </row>
    <row r="156">
      <c r="A156" s="78" t="inlineStr">
        <is>
          <t>9/29</t>
        </is>
      </c>
      <c r="B156" s="78" t="inlineStr">
        <is>
          <t>화</t>
        </is>
      </c>
      <c r="C156" s="78" t="inlineStr"/>
      <c r="D156" s="78" t="inlineStr">
        <is>
          <t>13:15</t>
        </is>
      </c>
      <c r="E156" s="78" t="inlineStr"/>
      <c r="F156" s="78" t="inlineStr">
        <is>
          <t>사나힌 수도원</t>
        </is>
      </c>
      <c r="G156" s="78" t="inlineStr">
        <is>
          <t>[무료] 가깝고 소박한 쪽을 먼저 봅니다. 이름이 "이것보다 오래된"이라는 뜻 — 하흐파트보다 먼저 지어졌다는 주장에서 왔습니다</t>
        </is>
      </c>
    </row>
    <row r="157">
      <c r="A157" s="78" t="inlineStr">
        <is>
          <t>9/29</t>
        </is>
      </c>
      <c r="B157" s="78" t="inlineStr">
        <is>
          <t>화</t>
        </is>
      </c>
      <c r="C157" s="78" t="inlineStr"/>
      <c r="D157" s="78" t="inlineStr">
        <is>
          <t>14:45</t>
        </is>
      </c>
      <c r="E157" s="78" t="inlineStr"/>
      <c r="F157" s="78" t="inlineStr">
        <is>
          <t>하흐파트 수도원</t>
        </is>
      </c>
      <c r="G157" s="78" t="inlineStr">
        <is>
          <t>[무료] 종탑·서고·식당동이 따로 선 큰 구성 — 여기서 시간을 더 쓰세요 · 10세기 창건 · 학문과 필사의 중심이었습니다. 사나힌과 함께 유네스코 세계유산</t>
        </is>
      </c>
    </row>
    <row r="158">
      <c r="A158" s="78" t="inlineStr">
        <is>
          <t>9/29</t>
        </is>
      </c>
      <c r="B158" s="78" t="inlineStr">
        <is>
          <t>화</t>
        </is>
      </c>
      <c r="C158" s="78" t="inlineStr"/>
      <c r="D158" s="78" t="inlineStr">
        <is>
          <t>16:45</t>
        </is>
      </c>
      <c r="E158" s="78" t="inlineStr"/>
      <c r="F158" s="78" t="inlineStr">
        <is>
          <t>알라베르디 복귀</t>
        </is>
      </c>
      <c r="G158" s="78" t="inlineStr"/>
    </row>
    <row r="159">
      <c r="A159" s="78" t="inlineStr">
        <is>
          <t>9/29</t>
        </is>
      </c>
      <c r="B159" s="78" t="inlineStr">
        <is>
          <t>화</t>
        </is>
      </c>
      <c r="C159" s="78" t="inlineStr"/>
      <c r="D159" s="78" t="inlineStr">
        <is>
          <t>17:15</t>
        </is>
      </c>
      <c r="E159" s="78" t="inlineStr"/>
      <c r="F159" s="78" t="inlineStr">
        <is>
          <t>사나힌 다리 · 소비에트 케이블카</t>
        </is>
      </c>
      <c r="G159" s="78" t="inlineStr">
        <is>
          <t>[무료] 12세기 아치교 · 시내라 걸어서 갑니다 · 케이블카는 운행 여부를 현지에서 확인하세요 — 서 있는 모습만으로도 볼거리입니다</t>
        </is>
      </c>
    </row>
    <row r="160">
      <c r="A160" s="78" t="inlineStr">
        <is>
          <t>9/29</t>
        </is>
      </c>
      <c r="B160" s="78" t="inlineStr">
        <is>
          <t>화</t>
        </is>
      </c>
      <c r="C160" s="78" t="inlineStr"/>
      <c r="D160" s="78" t="inlineStr">
        <is>
          <t>19:00</t>
        </is>
      </c>
      <c r="E160" s="78" t="inlineStr"/>
      <c r="F160" s="78" t="inlineStr">
        <is>
          <t>게스트하우스 저녁</t>
        </is>
      </c>
      <c r="G160" s="78" t="inlineStr">
        <is>
          <t>이 지역은 외식할 곳이 적어 숙소 가정식이 가장 무난합니다</t>
        </is>
      </c>
    </row>
    <row r="161">
      <c r="A161" s="78" t="inlineStr">
        <is>
          <t>9/29</t>
        </is>
      </c>
      <c r="B161" s="78" t="inlineStr">
        <is>
          <t>화</t>
        </is>
      </c>
      <c r="C161" s="78" t="inlineStr"/>
      <c r="D161" s="78" t="inlineStr"/>
      <c r="E161" s="78" t="inlineStr">
        <is>
          <t>주의</t>
        </is>
      </c>
      <c r="F161" s="78" t="inlineStr">
        <is>
          <t>오후의 버스 네 번을 택시 한 대로 바꿨습니다. 두 수도원은 협곡 양쪽 고원에 하나씩 있어 버스로는 알라베르디를 두 번 오르내려야 하고, 한 번만 어긋나도 어두워집니다. 택시는 대기 포함 6,000드람 안팎 — 버스 두 번 왕복(800드람)보다 5,200드람(약 2만원) 더 들지만 오후가 통째로 여유로워지고 사나힌 다리까지 봅니다.</t>
        </is>
      </c>
      <c r="G161" s="78" t="inlineStr"/>
    </row>
    <row r="162">
      <c r="A162" s="78" t="inlineStr">
        <is>
          <t>9/29</t>
        </is>
      </c>
      <c r="B162" s="78" t="inlineStr">
        <is>
          <t>화</t>
        </is>
      </c>
      <c r="C162" s="78" t="inlineStr"/>
      <c r="D162" s="78" t="inlineStr"/>
      <c r="E162" s="78" t="inlineStr">
        <is>
          <t>주의</t>
        </is>
      </c>
      <c r="F162" s="78" t="inlineStr">
        <is>
          <t>사나힌을 먼저, 하흐파트에 시간을 더. 사나힌이 알라베르디에서 가깝고 규모가 작습니다. 하흐파트는 건물이 흩어져 있어 둘러보는 데 오래 걸리니 뒤에 두고 여유 있게 보세요.</t>
        </is>
      </c>
      <c r="G162" s="78" t="inlineStr"/>
    </row>
    <row r="163">
      <c r="A163" s="78" t="inlineStr">
        <is>
          <t>9/29</t>
        </is>
      </c>
      <c r="B163" s="78" t="inlineStr">
        <is>
          <t>화</t>
        </is>
      </c>
      <c r="C163" s="78" t="inlineStr"/>
      <c r="D163" s="78" t="inlineStr"/>
      <c r="E163" s="78" t="inlineStr">
        <is>
          <t>주의</t>
        </is>
      </c>
      <c r="F163" s="78" t="inlineStr">
        <is>
          <t>08:20을 놓쳐도 10:20이 있습니다. 두 편 모두 정시 출발이라 대기가 없습니다. 10:20을 타면 알라베르디 도착이 14시대가 되니, 그때는 사나힌 다리를 접으세요.</t>
        </is>
      </c>
      <c r="G163" s="78" t="inlineStr"/>
    </row>
    <row r="164">
      <c r="A164" s="78" t="inlineStr">
        <is>
          <t>9/29</t>
        </is>
      </c>
      <c r="B164" s="78" t="inlineStr">
        <is>
          <t>화</t>
        </is>
      </c>
      <c r="C164" s="78" t="inlineStr"/>
      <c r="D164" s="78" t="inlineStr"/>
      <c r="E164" s="78" t="inlineStr">
        <is>
          <t>주의</t>
        </is>
      </c>
      <c r="F164" s="78" t="inlineStr">
        <is>
          <t>여유가 생기면 아흐탈라 수도원(알라베르디 북쪽 12km, 국경 가는 길)을 붙일 수 있습니다. 아르메니아에서 비잔틴 양식 프레스코가 가장 잘 남은 곳이라, 하흐파트·사나힌이 "건축"이라면 여기는 "그림"입니다. 다만 세 곳을 도는 택시가 12,000드람으로 뛰어 예비비가 사라지니 이번엔 접었습니다.</t>
        </is>
      </c>
      <c r="G164" s="78" t="inlineStr"/>
    </row>
    <row r="165">
      <c r="A165" s="77" t="inlineStr">
        <is>
          <t>9/30</t>
        </is>
      </c>
      <c r="B165" s="77" t="inlineStr">
        <is>
          <t>수</t>
        </is>
      </c>
      <c r="C165" s="77" t="inlineStr">
        <is>
          <t>알라베르디 → 예레반 — 오후 에치미아진 · 즈바르트노츠</t>
        </is>
      </c>
      <c r="D165" s="77" t="inlineStr"/>
      <c r="E165" s="77" t="inlineStr"/>
      <c r="F165" s="77" t="inlineStr">
        <is>
          <t>오전에 예레반으로 내려와 짐을 풀고, 오후엔 서쪽 20km의 에치미아진과 즈바르트노츠를 반나절로 봅니다. 여기서부터 예레반 3박.</t>
        </is>
      </c>
      <c r="G165" s="77" t="inlineStr"/>
    </row>
    <row r="166">
      <c r="A166" s="78" t="inlineStr">
        <is>
          <t>9/30</t>
        </is>
      </c>
      <c r="B166" s="78" t="inlineStr">
        <is>
          <t>수</t>
        </is>
      </c>
      <c r="C166" s="78" t="inlineStr"/>
      <c r="D166" s="78" t="inlineStr">
        <is>
          <t>08:00</t>
        </is>
      </c>
      <c r="E166" s="78" t="inlineStr">
        <is>
          <t>마르슈르트카</t>
        </is>
      </c>
      <c r="F166" s="78" t="inlineStr">
        <is>
          <t>알라베르디 → 예레반</t>
        </is>
      </c>
      <c r="G166" s="78" t="inlineStr">
        <is>
          <t>[2,500드람] 바나조르 경유 또는 지나가는 직행 · 4시간 안팎 · 전날 저녁 숙소 주인에게 아침에 지나가는 직행이 있는지 물어보세요</t>
        </is>
      </c>
    </row>
    <row r="167">
      <c r="A167" s="78" t="inlineStr">
        <is>
          <t>9/30</t>
        </is>
      </c>
      <c r="B167" s="78" t="inlineStr">
        <is>
          <t>수</t>
        </is>
      </c>
      <c r="C167" s="78" t="inlineStr"/>
      <c r="D167" s="78" t="inlineStr">
        <is>
          <t>12:30</t>
        </is>
      </c>
      <c r="E167" s="78" t="inlineStr"/>
      <c r="F167" s="78" t="inlineStr">
        <is>
          <t>킬리키아 터미널 도착</t>
        </is>
      </c>
      <c r="G167" s="78" t="inlineStr"/>
    </row>
    <row r="168">
      <c r="A168" s="78" t="inlineStr">
        <is>
          <t>9/30</t>
        </is>
      </c>
      <c r="B168" s="78" t="inlineStr">
        <is>
          <t>수</t>
        </is>
      </c>
      <c r="C168" s="78" t="inlineStr"/>
      <c r="D168" s="78" t="inlineStr">
        <is>
          <t>13:30</t>
        </is>
      </c>
      <c r="E168" s="78" t="inlineStr">
        <is>
          <t>버스</t>
        </is>
      </c>
      <c r="F168" s="78" t="inlineStr">
        <is>
          <t>체크인 · 짐 놓기 · 점심</t>
        </is>
      </c>
      <c r="G168" s="78" t="inlineStr">
        <is>
          <t>[200드람] 터미널에서 시내까지 버스 또는 GG 택시</t>
        </is>
      </c>
    </row>
    <row r="169">
      <c r="A169" s="78" t="inlineStr">
        <is>
          <t>9/30</t>
        </is>
      </c>
      <c r="B169" s="78" t="inlineStr">
        <is>
          <t>수</t>
        </is>
      </c>
      <c r="C169" s="78" t="inlineStr"/>
      <c r="D169" s="78" t="inlineStr">
        <is>
          <t>14:30</t>
        </is>
      </c>
      <c r="E169" s="78" t="inlineStr">
        <is>
          <t>203 · 204번</t>
        </is>
      </c>
      <c r="F169" s="78" t="inlineStr">
        <is>
          <t>즈바르트노츠행</t>
        </is>
      </c>
      <c r="G169" s="78" t="inlineStr">
        <is>
          <t>[250드람] 킬리키아 터미널 발 마르슈르트카 · 기사에게 즈바르트노츠에서 내린다고 말해 두세요</t>
        </is>
      </c>
    </row>
    <row r="170">
      <c r="A170" s="78" t="inlineStr">
        <is>
          <t>9/30</t>
        </is>
      </c>
      <c r="B170" s="78" t="inlineStr">
        <is>
          <t>수</t>
        </is>
      </c>
      <c r="C170" s="78" t="inlineStr"/>
      <c r="D170" s="78" t="inlineStr">
        <is>
          <t>15:00</t>
        </is>
      </c>
      <c r="E170" s="78" t="inlineStr"/>
      <c r="F170" s="78" t="inlineStr">
        <is>
          <t>즈바르트노츠 유적</t>
        </is>
      </c>
      <c r="G170" s="78" t="inlineStr">
        <is>
          <t>[1,500드람] 공식 안내 매일 10:00~18:00 (일요일 16:00까지) · 부속 박물관 포함 · 7세기 3층 원형 대성당 터. 독수리가 새겨진 주두들이 흩어져 있고, 박물관에 복원 모형이 있습니다</t>
        </is>
      </c>
    </row>
    <row r="171">
      <c r="A171" s="78" t="inlineStr">
        <is>
          <t>9/30</t>
        </is>
      </c>
      <c r="B171" s="78" t="inlineStr">
        <is>
          <t>수</t>
        </is>
      </c>
      <c r="C171" s="78" t="inlineStr"/>
      <c r="D171" s="78" t="inlineStr">
        <is>
          <t>16:15</t>
        </is>
      </c>
      <c r="E171" s="78" t="inlineStr">
        <is>
          <t>택시</t>
        </is>
      </c>
      <c r="F171" s="78" t="inlineStr">
        <is>
          <t>에치미아진으로</t>
        </is>
      </c>
      <c r="G171" s="78" t="inlineStr">
        <is>
          <t>[1,000드람] 서쪽 4km · 같은 마르슈르트카를 다시 타도 됩니다</t>
        </is>
      </c>
    </row>
    <row r="172">
      <c r="A172" s="78" t="inlineStr">
        <is>
          <t>9/30</t>
        </is>
      </c>
      <c r="B172" s="78" t="inlineStr">
        <is>
          <t>수</t>
        </is>
      </c>
      <c r="C172" s="78" t="inlineStr"/>
      <c r="D172" s="78" t="inlineStr">
        <is>
          <t>16:30</t>
        </is>
      </c>
      <c r="E172" s="78" t="inlineStr"/>
      <c r="F172" s="78" t="inlineStr">
        <is>
          <t>에치미아진 대성당</t>
        </is>
      </c>
      <c r="G172" s="78" t="inlineStr">
        <is>
          <t>[무료] 세계에서 가장 오래된 대성당. 301년 기독교 국교화 직후 세워졌습니다 · 6년 보수 끝에 2024년 9월 29일 재축성과 함께 다시 열렸습니다</t>
        </is>
      </c>
    </row>
    <row r="173">
      <c r="A173" s="78" t="inlineStr">
        <is>
          <t>9/30</t>
        </is>
      </c>
      <c r="B173" s="78" t="inlineStr">
        <is>
          <t>수</t>
        </is>
      </c>
      <c r="C173" s="78" t="inlineStr"/>
      <c r="D173" s="78" t="inlineStr">
        <is>
          <t>17:30</t>
        </is>
      </c>
      <c r="E173" s="78" t="inlineStr"/>
      <c r="F173" s="78" t="inlineStr">
        <is>
          <t>성 흐립시메 교회 · 성 가야네 교회</t>
        </is>
      </c>
      <c r="G173" s="78" t="inlineStr">
        <is>
          <t>[무료] 7세기. 초기 아르메니아 건축의 정점으로 꼽힙니다</t>
        </is>
      </c>
    </row>
    <row r="174">
      <c r="A174" s="78" t="inlineStr">
        <is>
          <t>9/30</t>
        </is>
      </c>
      <c r="B174" s="78" t="inlineStr">
        <is>
          <t>수</t>
        </is>
      </c>
      <c r="C174" s="78" t="inlineStr"/>
      <c r="D174" s="78" t="inlineStr">
        <is>
          <t>18:30</t>
        </is>
      </c>
      <c r="E174" s="78" t="inlineStr">
        <is>
          <t>마르슈르트카</t>
        </is>
      </c>
      <c r="F174" s="78" t="inlineStr">
        <is>
          <t>예레반 복귀</t>
        </is>
      </c>
      <c r="G174" s="78" t="inlineStr">
        <is>
          <t>[250드람]</t>
        </is>
      </c>
    </row>
    <row r="175">
      <c r="A175" s="78" t="inlineStr">
        <is>
          <t>9/30</t>
        </is>
      </c>
      <c r="B175" s="78" t="inlineStr">
        <is>
          <t>수</t>
        </is>
      </c>
      <c r="C175" s="78" t="inlineStr"/>
      <c r="D175" s="78" t="inlineStr">
        <is>
          <t>20:00</t>
        </is>
      </c>
      <c r="E175" s="78" t="inlineStr"/>
      <c r="F175" s="78" t="inlineStr">
        <is>
          <t>저녁</t>
        </is>
      </c>
      <c r="G175" s="78" t="inlineStr"/>
    </row>
    <row r="176">
      <c r="A176" s="78" t="inlineStr">
        <is>
          <t>9/30</t>
        </is>
      </c>
      <c r="B176" s="78" t="inlineStr">
        <is>
          <t>수</t>
        </is>
      </c>
      <c r="C176" s="78" t="inlineStr"/>
      <c r="D176" s="78" t="inlineStr">
        <is>
          <t>20:30</t>
        </is>
      </c>
      <c r="E176" s="78" t="inlineStr"/>
      <c r="F176" s="78" t="inlineStr">
        <is>
          <t>공화국 광장 음악분수</t>
        </is>
      </c>
      <c r="G176" s="78" t="inlineStr">
        <is>
          <t>[무료] 5~10월 저녁에만 돕니다. 9월 말이면 운영 막바지라, 그날 저녁 광장에 물이 도는지 보고 판단하세요</t>
        </is>
      </c>
    </row>
    <row r="177">
      <c r="A177" s="78" t="inlineStr">
        <is>
          <t>9/30</t>
        </is>
      </c>
      <c r="B177" s="78" t="inlineStr">
        <is>
          <t>수</t>
        </is>
      </c>
      <c r="C177" s="78" t="inlineStr"/>
      <c r="D177" s="78" t="inlineStr"/>
      <c r="E177" s="78" t="inlineStr">
        <is>
          <t>주의</t>
        </is>
      </c>
      <c r="F177" s="78" t="inlineStr">
        <is>
          <t>이동일을 관광일로 바꿨습니다. 원래 이 날은 09:00에 떠나 14:00 예레반에 닿은 뒤 공화국 광장·캐스케이드를 걷는 날이었습니다. 한 시간 일찍 떠나 오후를 에치미아진·즈바르트노츠에 씁니다 — 지난 판들이 번번이 "이번에도 빠졌다"고 적었던 곳입니다.</t>
        </is>
      </c>
      <c r="G177" s="78" t="inlineStr"/>
    </row>
    <row r="178">
      <c r="A178" s="78" t="inlineStr">
        <is>
          <t>9/30</t>
        </is>
      </c>
      <c r="B178" s="78" t="inlineStr">
        <is>
          <t>수</t>
        </is>
      </c>
      <c r="C178" s="78" t="inlineStr"/>
      <c r="D178" s="78" t="inlineStr"/>
      <c r="E178" s="78" t="inlineStr">
        <is>
          <t>주의</t>
        </is>
      </c>
      <c r="F178" s="78" t="inlineStr">
        <is>
          <t>즈바르트노츠를 먼저 칩니다. 예레반에서 에치미아진 가는 길 위에 있고, 문 닫는 시각이 있는 쪽이라서입니다(공식 안내 18:00). 에치미아진 성당 경내는 저녁까지 열려 있습니다. 예레반 도착이 크게 밀려 16시가 넘어 출발하게 되면 즈바르트노츠는 버리고 에치미아진으로 직행하세요.</t>
        </is>
      </c>
      <c r="G178" s="78" t="inlineStr"/>
    </row>
    <row r="179">
      <c r="A179" s="78" t="inlineStr">
        <is>
          <t>9/30</t>
        </is>
      </c>
      <c r="B179" s="78" t="inlineStr">
        <is>
          <t>수</t>
        </is>
      </c>
      <c r="C179" s="78" t="inlineStr"/>
      <c r="D179" s="78" t="inlineStr"/>
      <c r="E179" s="78" t="inlineStr">
        <is>
          <t>주의</t>
        </is>
      </c>
      <c r="F179" s="78" t="inlineStr">
        <is>
          <t>옛 방문기의 "공사 중"은 무시하세요. 에치미아진 대성당은 2018년부터 6년간 닫혀 구조 보강과 내부 프레스코 보존 작업을 했고, 2024년 9월 29일 재축성과 함께 다시 열렸습니다.</t>
        </is>
      </c>
      <c r="G179" s="78" t="inlineStr"/>
    </row>
    <row r="180">
      <c r="A180" s="78" t="inlineStr">
        <is>
          <t>9/30</t>
        </is>
      </c>
      <c r="B180" s="78" t="inlineStr">
        <is>
          <t>수</t>
        </is>
      </c>
      <c r="C180" s="78" t="inlineStr"/>
      <c r="D180" s="78" t="inlineStr"/>
      <c r="E180" s="78" t="inlineStr">
        <is>
          <t>주의</t>
        </is>
      </c>
      <c r="F180" s="78" t="inlineStr">
        <is>
          <t>에치미아진은 반드시 마르슈르트카로. 택시로 돌면 6,000드람(약 2만 3천원)이 더 붙어 아르메니아 예비비가 바닥납니다.</t>
        </is>
      </c>
      <c r="G180" s="78" t="inlineStr"/>
    </row>
    <row r="181">
      <c r="A181" s="78" t="inlineStr">
        <is>
          <t>9/30</t>
        </is>
      </c>
      <c r="B181" s="78" t="inlineStr">
        <is>
          <t>수</t>
        </is>
      </c>
      <c r="C181" s="78" t="inlineStr"/>
      <c r="D181" s="78" t="inlineStr"/>
      <c r="E181" s="78" t="inlineStr">
        <is>
          <t>주의</t>
        </is>
      </c>
      <c r="F181" s="78" t="inlineStr">
        <is>
          <t>둘은 한 건의 유네스코 세계유산(에치미아진 성당·교회군과 즈바르트노츠 고고 유적)입니다. 9/29 하흐파트·사나힌, 10/1 게하르트와 합치면 아르메니아 나흘에 유네스코 세 건이 들어갑니다.</t>
        </is>
      </c>
      <c r="G181" s="78" t="inlineStr"/>
    </row>
    <row r="182">
      <c r="A182" s="78" t="inlineStr">
        <is>
          <t>9/30</t>
        </is>
      </c>
      <c r="B182" s="78" t="inlineStr">
        <is>
          <t>수</t>
        </is>
      </c>
      <c r="C182" s="78" t="inlineStr"/>
      <c r="D182" s="78" t="inlineStr"/>
      <c r="E182" s="78" t="inlineStr">
        <is>
          <t>주의</t>
        </is>
      </c>
      <c r="F182" s="78" t="inlineStr">
        <is>
          <t>세반·딜리잔 경유는 넣지 않았습니다. 바나조르에서 동쪽으로 한 번 꺾는 길이라 첫 연결이 무너지면 하루가 도미노로 무너지는 구조였는데, 그 위험도 함께 사라졌습니다.</t>
        </is>
      </c>
      <c r="G182" s="78" t="inlineStr"/>
    </row>
    <row r="183">
      <c r="A183" s="77" t="inlineStr">
        <is>
          <t>10/1</t>
        </is>
      </c>
      <c r="B183" s="77" t="inlineStr">
        <is>
          <t>목</t>
        </is>
      </c>
      <c r="C183" s="77" t="inlineStr">
        <is>
          <t>게하르트 → 가르니 — 순서를 뒤집어 종일</t>
        </is>
      </c>
      <c r="D183" s="77" t="inlineStr"/>
      <c r="E183" s="77" t="inlineStr"/>
      <c r="F183" s="77" t="inlineStr">
        <is>
          <t>관광버스가 오기 전에 게하르트 암굴을 먼저 보고, 해가 높아진 오후에 가르니 협곡으로 내려갑니다.</t>
        </is>
      </c>
      <c r="G183" s="77" t="inlineStr"/>
    </row>
    <row r="184">
      <c r="A184" s="78" t="inlineStr">
        <is>
          <t>10/1</t>
        </is>
      </c>
      <c r="B184" s="78" t="inlineStr">
        <is>
          <t>목</t>
        </is>
      </c>
      <c r="C184" s="78" t="inlineStr"/>
      <c r="D184" s="78" t="inlineStr">
        <is>
          <t>08:00</t>
        </is>
      </c>
      <c r="E184" s="78" t="inlineStr">
        <is>
          <t>63번 버스</t>
        </is>
      </c>
      <c r="F184" s="78" t="inlineStr">
        <is>
          <t>숙소 출발 · 가이 정류장으로</t>
        </is>
      </c>
      <c r="G184" s="78" t="inlineStr">
        <is>
          <t>[100드람] 가이 정류장이 시내에서 떨어져 있어 30분이 더 듭니다</t>
        </is>
      </c>
    </row>
    <row r="185">
      <c r="A185" s="78" t="inlineStr">
        <is>
          <t>10/1</t>
        </is>
      </c>
      <c r="B185" s="78" t="inlineStr">
        <is>
          <t>목</t>
        </is>
      </c>
      <c r="C185" s="78" t="inlineStr"/>
      <c r="D185" s="78" t="inlineStr">
        <is>
          <t>09:00</t>
        </is>
      </c>
      <c r="E185" s="78" t="inlineStr">
        <is>
          <t>266 · 284번</t>
        </is>
      </c>
      <c r="F185" s="78" t="inlineStr">
        <is>
          <t>고흐트행 — 가르니를 지나 종점까지</t>
        </is>
      </c>
      <c r="G185" s="78" t="inlineStr">
        <is>
          <t>[250드람] 약 1시간 · 편수는 자료마다 다릅니다 · 가는 길 도로변에 차렌츠 아치 — 아치 프레임 안으로 아라라트 산이 들어옵니다</t>
        </is>
      </c>
    </row>
    <row r="186">
      <c r="A186" s="78" t="inlineStr">
        <is>
          <t>10/1</t>
        </is>
      </c>
      <c r="B186" s="78" t="inlineStr">
        <is>
          <t>목</t>
        </is>
      </c>
      <c r="C186" s="78" t="inlineStr"/>
      <c r="D186" s="78" t="inlineStr">
        <is>
          <t>10:00</t>
        </is>
      </c>
      <c r="E186" s="78" t="inlineStr">
        <is>
          <t>택시</t>
        </is>
      </c>
      <c r="F186" s="78" t="inlineStr">
        <is>
          <t>고흐트 종점 · 게하르트까지</t>
        </is>
      </c>
      <c r="G186" s="78" t="inlineStr">
        <is>
          <t>[3,000드람] 게하르트를 보고 가르니까지 한 번에 흥정 · 대기 포함</t>
        </is>
      </c>
    </row>
    <row r="187">
      <c r="A187" s="78" t="inlineStr">
        <is>
          <t>10/1</t>
        </is>
      </c>
      <c r="B187" s="78" t="inlineStr">
        <is>
          <t>목</t>
        </is>
      </c>
      <c r="C187" s="78" t="inlineStr"/>
      <c r="D187" s="78" t="inlineStr">
        <is>
          <t>10:15</t>
        </is>
      </c>
      <c r="E187" s="78" t="inlineStr"/>
      <c r="F187" s="78" t="inlineStr">
        <is>
          <t>게하르트 수도원</t>
        </is>
      </c>
      <c r="G187" s="78" t="inlineStr">
        <is>
          <t>[무료] 유네스코 세계유산. 암반을 통째로 파낸 내부 — 관광버스가 오는 11시 전에 들어가야 안쪽 방 잔향을 제대로 듣습니다</t>
        </is>
      </c>
    </row>
    <row r="188">
      <c r="A188" s="78" t="inlineStr">
        <is>
          <t>10/1</t>
        </is>
      </c>
      <c r="B188" s="78" t="inlineStr">
        <is>
          <t>목</t>
        </is>
      </c>
      <c r="C188" s="78" t="inlineStr"/>
      <c r="D188" s="78" t="inlineStr">
        <is>
          <t>11:45</t>
        </is>
      </c>
      <c r="E188" s="78" t="inlineStr"/>
      <c r="F188" s="78" t="inlineStr">
        <is>
          <t>같은 택시로 가르니</t>
        </is>
      </c>
      <c r="G188" s="78" t="inlineStr"/>
    </row>
    <row r="189">
      <c r="A189" s="78" t="inlineStr">
        <is>
          <t>10/1</t>
        </is>
      </c>
      <c r="B189" s="78" t="inlineStr">
        <is>
          <t>목</t>
        </is>
      </c>
      <c r="C189" s="78" t="inlineStr"/>
      <c r="D189" s="78" t="inlineStr">
        <is>
          <t>12:15</t>
        </is>
      </c>
      <c r="E189" s="78" t="inlineStr"/>
      <c r="F189" s="78" t="inlineStr">
        <is>
          <t>가르니 점심</t>
        </is>
      </c>
      <c r="G189" s="78" t="inlineStr">
        <is>
          <t>광장 근처에 화덕에서 라바시를 굽는 집이 있습니다 · 돌아가는 버스 시각을 이때 광장에서 확인</t>
        </is>
      </c>
    </row>
    <row r="190">
      <c r="A190" s="78" t="inlineStr">
        <is>
          <t>10/1</t>
        </is>
      </c>
      <c r="B190" s="78" t="inlineStr">
        <is>
          <t>목</t>
        </is>
      </c>
      <c r="C190" s="78" t="inlineStr"/>
      <c r="D190" s="78" t="inlineStr">
        <is>
          <t>13:30</t>
        </is>
      </c>
      <c r="E190" s="78" t="inlineStr"/>
      <c r="F190" s="78" t="inlineStr">
        <is>
          <t>가르니 신전</t>
        </is>
      </c>
      <c r="G190" s="78" t="inlineStr">
        <is>
          <t>[1,800드람] 1세기 그리스식 열주 신전. 아르메니아에 하나 남은 이교 건축입니다</t>
        </is>
      </c>
    </row>
    <row r="191">
      <c r="A191" s="78" t="inlineStr">
        <is>
          <t>10/1</t>
        </is>
      </c>
      <c r="B191" s="78" t="inlineStr">
        <is>
          <t>목</t>
        </is>
      </c>
      <c r="C191" s="78" t="inlineStr"/>
      <c r="D191" s="78" t="inlineStr">
        <is>
          <t>14:15</t>
        </is>
      </c>
      <c r="E191" s="78" t="inlineStr"/>
      <c r="F191" s="78" t="inlineStr">
        <is>
          <t>협곡으로 내려가 '돌의 교향곡' 주상절리</t>
        </is>
      </c>
      <c r="G191" s="78" t="inlineStr">
        <is>
          <t>[무료] 왕복 1시간 도보 · 신전 아래로 난 길이 가파르니 신발을 확인하세요 · 협곡 바닥이라 해가 높이 떠야 빛이 듭니다 — 그래서 오후에 둡니다</t>
        </is>
      </c>
    </row>
    <row r="192">
      <c r="A192" s="78" t="inlineStr">
        <is>
          <t>10/1</t>
        </is>
      </c>
      <c r="B192" s="78" t="inlineStr">
        <is>
          <t>목</t>
        </is>
      </c>
      <c r="C192" s="78" t="inlineStr"/>
      <c r="D192" s="78" t="inlineStr">
        <is>
          <t>16:00</t>
        </is>
      </c>
      <c r="E192" s="78" t="inlineStr">
        <is>
          <t>266 · 284번</t>
        </is>
      </c>
      <c r="F192" s="78" t="inlineStr">
        <is>
          <t>가르니 광장 · 예레반행</t>
        </is>
      </c>
      <c r="G192" s="78" t="inlineStr">
        <is>
          <t>[250드람]</t>
        </is>
      </c>
    </row>
    <row r="193">
      <c r="A193" s="78" t="inlineStr">
        <is>
          <t>10/1</t>
        </is>
      </c>
      <c r="B193" s="78" t="inlineStr">
        <is>
          <t>목</t>
        </is>
      </c>
      <c r="C193" s="78" t="inlineStr"/>
      <c r="D193" s="78" t="inlineStr">
        <is>
          <t>17:00</t>
        </is>
      </c>
      <c r="E193" s="78" t="inlineStr">
        <is>
          <t>63번 버스</t>
        </is>
      </c>
      <c r="F193" s="78" t="inlineStr">
        <is>
          <t>가이 정류장 → 시내</t>
        </is>
      </c>
      <c r="G193" s="78" t="inlineStr">
        <is>
          <t>[100드람]</t>
        </is>
      </c>
    </row>
    <row r="194">
      <c r="A194" s="78" t="inlineStr">
        <is>
          <t>10/1</t>
        </is>
      </c>
      <c r="B194" s="78" t="inlineStr">
        <is>
          <t>목</t>
        </is>
      </c>
      <c r="C194" s="78" t="inlineStr"/>
      <c r="D194" s="78" t="inlineStr">
        <is>
          <t>19:00</t>
        </is>
      </c>
      <c r="E194" s="78" t="inlineStr"/>
      <c r="F194" s="78" t="inlineStr">
        <is>
          <t>저녁</t>
        </is>
      </c>
      <c r="G194" s="78" t="inlineStr"/>
    </row>
    <row r="195">
      <c r="A195" s="78" t="inlineStr">
        <is>
          <t>10/1</t>
        </is>
      </c>
      <c r="B195" s="78" t="inlineStr">
        <is>
          <t>목</t>
        </is>
      </c>
      <c r="C195" s="78" t="inlineStr"/>
      <c r="D195" s="78" t="inlineStr"/>
      <c r="E195" s="78" t="inlineStr">
        <is>
          <t>주의</t>
        </is>
      </c>
      <c r="F195" s="78" t="inlineStr">
        <is>
          <t>순서를 뒤집었습니다 — 게하르트가 먼저입니다. 게하르트 암굴 내부는 11시쯤 관광버스가 들이닥치고, 가르니 협곡의 주상절리는 바닥이라 해가 높아야 빛이 듭니다. 이른 아침 게하르트, 오후 가르니가 둘 다 맞습니다.</t>
        </is>
      </c>
      <c r="G195" s="78" t="inlineStr"/>
    </row>
    <row r="196">
      <c r="A196" s="78" t="inlineStr">
        <is>
          <t>10/1</t>
        </is>
      </c>
      <c r="B196" s="78" t="inlineStr">
        <is>
          <t>목</t>
        </is>
      </c>
      <c r="C196" s="78" t="inlineStr"/>
      <c r="D196" s="78" t="inlineStr"/>
      <c r="E196" s="78" t="inlineStr">
        <is>
          <t>주의</t>
        </is>
      </c>
      <c r="F196" s="78" t="inlineStr">
        <is>
          <t>버스 종점은 가르니가 아니라 고흐트(게하르트 아랫마을)입니다. 가르니에서 내리지 말고 끝까지 타세요. 편도 250드람, 약 1시간. 편수는 자료마다 달라(여름엔 30분 간격이라는 곳도, 매시 1편이라는 곳도 있습니다) 08:00에 숙소를 나서는 것을 기준으로 잡았습니다.</t>
        </is>
      </c>
      <c r="G196" s="78" t="inlineStr"/>
    </row>
    <row r="197">
      <c r="A197" s="78" t="inlineStr">
        <is>
          <t>10/1</t>
        </is>
      </c>
      <c r="B197" s="78" t="inlineStr">
        <is>
          <t>목</t>
        </is>
      </c>
      <c r="C197" s="78" t="inlineStr"/>
      <c r="D197" s="78" t="inlineStr"/>
      <c r="E197" s="78" t="inlineStr">
        <is>
          <t>주의</t>
        </is>
      </c>
      <c r="F197" s="78" t="inlineStr">
        <is>
          <t>차렌츠 아치에서 버스를 세워 달라고 할 수는 있지만, 기다려주지는 않습니다. 내리면 다음 편을 기다려야 하는데 편수가 적습니다. 차창으로 보거나, 꼭 서고 싶으면 이 구간만 GG 택시로 가세요. 아라라트는 오전 빛이라야 보이니 갈 때 봐야 합니다.</t>
        </is>
      </c>
      <c r="G197" s="78" t="inlineStr"/>
    </row>
    <row r="198">
      <c r="A198" s="78" t="inlineStr">
        <is>
          <t>10/1</t>
        </is>
      </c>
      <c r="B198" s="78" t="inlineStr">
        <is>
          <t>목</t>
        </is>
      </c>
      <c r="C198" s="78" t="inlineStr"/>
      <c r="D198" s="78" t="inlineStr"/>
      <c r="E198" s="78" t="inlineStr">
        <is>
          <t>주의</t>
        </is>
      </c>
      <c r="F198" s="78" t="inlineStr">
        <is>
          <t>협곡 왕복 도보를 넣어 종일 코스입니다. 가르니는 신전만 보면 30분이지만, 아래 아자트 강 협곡까지 내려갔다 오면 여기가 이 날의 중심이 됩니다.</t>
        </is>
      </c>
      <c r="G198" s="78" t="inlineStr"/>
    </row>
    <row r="199">
      <c r="A199" s="78" t="inlineStr">
        <is>
          <t>10/1</t>
        </is>
      </c>
      <c r="B199" s="78" t="inlineStr">
        <is>
          <t>목</t>
        </is>
      </c>
      <c r="C199" s="78" t="inlineStr"/>
      <c r="D199" s="78" t="inlineStr"/>
      <c r="E199" s="78" t="inlineStr">
        <is>
          <t>주의</t>
        </is>
      </c>
      <c r="F199" s="78" t="inlineStr">
        <is>
          <t>카즈베기를 1박으로 줄여 생긴 하루가 이 날입니다. 협곡 하강까지 넣은 종일 코스로 되살렸어요 — 예레반이 2박이던 판에서는 이걸 반나절로 잘라내야 했습니다.</t>
        </is>
      </c>
      <c r="G199" s="78" t="inlineStr"/>
    </row>
    <row r="200">
      <c r="A200" s="77" t="inlineStr">
        <is>
          <t>10/2</t>
        </is>
      </c>
      <c r="B200" s="77" t="inlineStr">
        <is>
          <t>금</t>
        </is>
      </c>
      <c r="C200" s="77" t="inlineStr">
        <is>
          <t>호르 비랍 · 예레반 서쪽 — 새벽 비행 전날</t>
        </is>
      </c>
      <c r="D200" s="77" t="inlineStr"/>
      <c r="E200" s="77" t="inlineStr"/>
      <c r="F200" s="77" t="inlineStr">
        <is>
          <t>01:30까지는 시간 제약이 없는 날입니다. 오전 빛에 호르 비랍에서 아라라트를 보고, 오후엔 시내 세 곳을 문 닫기 전에 돕니다.</t>
        </is>
      </c>
      <c r="G200" s="77" t="inlineStr"/>
    </row>
    <row r="201">
      <c r="A201" s="78" t="inlineStr">
        <is>
          <t>10/2</t>
        </is>
      </c>
      <c r="B201" s="78" t="inlineStr">
        <is>
          <t>금</t>
        </is>
      </c>
      <c r="C201" s="78" t="inlineStr"/>
      <c r="D201" s="78" t="inlineStr">
        <is>
          <t>08:30</t>
        </is>
      </c>
      <c r="E201" s="78" t="inlineStr">
        <is>
          <t>택시</t>
        </is>
      </c>
      <c r="F201" s="78" t="inlineStr">
        <is>
          <t>호르 비랍 왕복</t>
        </is>
      </c>
      <c r="G201" s="78" t="inlineStr">
        <is>
          <t>[12,000드람] 대기 포함 12,000~15,000드람 · GG 앱으로 왕복을 협상하면 10,000드람 선까지 내려가기도 합니다 · 예레반 남쪽 40km · 둘러보는 시간까지 왕복 3~4시간</t>
        </is>
      </c>
    </row>
    <row r="202">
      <c r="A202" s="78" t="inlineStr">
        <is>
          <t>10/2</t>
        </is>
      </c>
      <c r="B202" s="78" t="inlineStr">
        <is>
          <t>금</t>
        </is>
      </c>
      <c r="C202" s="78" t="inlineStr"/>
      <c r="D202" s="78" t="inlineStr">
        <is>
          <t>09:30</t>
        </is>
      </c>
      <c r="E202" s="78" t="inlineStr"/>
      <c r="F202" s="78" t="inlineStr">
        <is>
          <t>호르 비랍 수도원</t>
        </is>
      </c>
      <c r="G202" s="78" t="inlineStr">
        <is>
          <t>[무료] 수도원 뒤로 아라라트 산이 화면을 꽉 채웁니다 — 아르메니아의 대표 이미지가 여기서 나옵니다 · 오전 빛이라야 산이 선명합니다. 오후엔 아지랑이로 실루엣만 남기 쉽습니다</t>
        </is>
      </c>
    </row>
    <row r="203">
      <c r="A203" s="78" t="inlineStr">
        <is>
          <t>10/2</t>
        </is>
      </c>
      <c r="B203" s="78" t="inlineStr">
        <is>
          <t>금</t>
        </is>
      </c>
      <c r="C203" s="78" t="inlineStr"/>
      <c r="D203" s="78" t="inlineStr">
        <is>
          <t>12:30</t>
        </is>
      </c>
      <c r="E203" s="78" t="inlineStr"/>
      <c r="F203" s="78" t="inlineStr">
        <is>
          <t>예레반 복귀 · GUM 시장에서 점심 겸 장보기</t>
        </is>
      </c>
      <c r="G203" s="78" t="inlineStr">
        <is>
          <t>건과일·수죽·향신료. 기념품은 여기서 · 문 닫는 시각이 자료마다 17~18시라 오후 늦게 가면 헛걸음합니다 — 그래서 먼저 칩니다</t>
        </is>
      </c>
    </row>
    <row r="204">
      <c r="A204" s="78" t="inlineStr">
        <is>
          <t>10/2</t>
        </is>
      </c>
      <c r="B204" s="78" t="inlineStr">
        <is>
          <t>금</t>
        </is>
      </c>
      <c r="C204" s="78" t="inlineStr"/>
      <c r="D204" s="78" t="inlineStr">
        <is>
          <t>14:00</t>
        </is>
      </c>
      <c r="E204" s="78" t="inlineStr">
        <is>
          <t>GG 택시</t>
        </is>
      </c>
      <c r="F204" s="78" t="inlineStr">
        <is>
          <t>대학살 추모관</t>
        </is>
      </c>
      <c r="G204" s="78" t="inlineStr">
        <is>
          <t>[무료] 협곡 건너 서쪽 언덕 · 박물관동 3~12월 10:00~17:00, 16:30 입장 마감 · 월요일 휴관</t>
        </is>
      </c>
    </row>
    <row r="205">
      <c r="A205" s="78" t="inlineStr">
        <is>
          <t>10/2</t>
        </is>
      </c>
      <c r="B205" s="78" t="inlineStr">
        <is>
          <t>금</t>
        </is>
      </c>
      <c r="C205" s="78" t="inlineStr"/>
      <c r="D205" s="78" t="inlineStr">
        <is>
          <t>15:30</t>
        </is>
      </c>
      <c r="E205" s="78" t="inlineStr">
        <is>
          <t>GG 택시</t>
        </is>
      </c>
      <c r="F205" s="78" t="inlineStr">
        <is>
          <t>세르게이 파라자노프 박물관</t>
        </is>
      </c>
      <c r="G205" s="78" t="inlineStr">
        <is>
          <t>[1,000드람] 매일 10:30~17:00 · 조라구그 옛 거리 · 영화감독이 수용소에서 병뚜껑과 천 조각으로 만든 콜라주들. 예레반에서 가장 기억에 남는 곳이라는 평이 많습니다</t>
        </is>
      </c>
    </row>
    <row r="206">
      <c r="A206" s="78" t="inlineStr">
        <is>
          <t>10/2</t>
        </is>
      </c>
      <c r="B206" s="78" t="inlineStr">
        <is>
          <t>금</t>
        </is>
      </c>
      <c r="C206" s="78" t="inlineStr"/>
      <c r="D206" s="78" t="inlineStr">
        <is>
          <t>17:00</t>
        </is>
      </c>
      <c r="E206" s="78" t="inlineStr"/>
      <c r="F206" s="78" t="inlineStr">
        <is>
          <t>숙소까지 걸어서 · 짐 싸기 · 샤워</t>
        </is>
      </c>
      <c r="G206" s="78" t="inlineStr">
        <is>
          <t>박물관에서 공화국 광장까지 1km 남짓</t>
        </is>
      </c>
    </row>
    <row r="207">
      <c r="A207" s="78" t="inlineStr">
        <is>
          <t>10/2</t>
        </is>
      </c>
      <c r="B207" s="78" t="inlineStr">
        <is>
          <t>금</t>
        </is>
      </c>
      <c r="C207" s="78" t="inlineStr"/>
      <c r="D207" s="78" t="inlineStr">
        <is>
          <t>19:00</t>
        </is>
      </c>
      <c r="E207" s="78" t="inlineStr"/>
      <c r="F207" s="78" t="inlineStr">
        <is>
          <t>이른 저녁</t>
        </is>
      </c>
      <c r="G207" s="78" t="inlineStr"/>
    </row>
    <row r="208">
      <c r="A208" s="78" t="inlineStr">
        <is>
          <t>10/2</t>
        </is>
      </c>
      <c r="B208" s="78" t="inlineStr">
        <is>
          <t>금</t>
        </is>
      </c>
      <c r="C208" s="78" t="inlineStr"/>
      <c r="D208" s="78" t="inlineStr">
        <is>
          <t>21:30</t>
        </is>
      </c>
      <c r="E208" s="78" t="inlineStr"/>
      <c r="F208" s="78" t="inlineStr">
        <is>
          <t>취침 시도</t>
        </is>
      </c>
      <c r="G208" s="78" t="inlineStr">
        <is>
          <t>서너 시간이라도 자두면 아테네에서의 하루가 달라집니다</t>
        </is>
      </c>
    </row>
    <row r="209">
      <c r="A209" s="78" t="inlineStr">
        <is>
          <t>10/2</t>
        </is>
      </c>
      <c r="B209" s="78" t="inlineStr">
        <is>
          <t>금</t>
        </is>
      </c>
      <c r="C209" s="78" t="inlineStr"/>
      <c r="D209" s="78" t="inlineStr">
        <is>
          <t>01:30</t>
        </is>
      </c>
      <c r="E209" s="78" t="inlineStr">
        <is>
          <t>GG 택시</t>
        </is>
      </c>
      <c r="F209" s="78" t="inlineStr">
        <is>
          <t>즈바르트노츠 공항으로</t>
        </is>
      </c>
      <c r="G209" s="78" t="inlineStr">
        <is>
          <t>[4,000드람] 3,000~4,000드람 · 20분 · 날짜가 10/3으로 넘어갑니다</t>
        </is>
      </c>
    </row>
    <row r="210">
      <c r="A210" s="78" t="inlineStr">
        <is>
          <t>10/2</t>
        </is>
      </c>
      <c r="B210" s="78" t="inlineStr">
        <is>
          <t>금</t>
        </is>
      </c>
      <c r="C210" s="78" t="inlineStr"/>
      <c r="D210" s="78" t="inlineStr"/>
      <c r="E210" s="78" t="inlineStr">
        <is>
          <t>주의</t>
        </is>
      </c>
      <c r="F210" s="78" t="inlineStr">
        <is>
          <t>새벽 비행 전날이지만 01:30까지는 시간 제약이 없는 날입니다. 그래서 비워두지 않고 오전을 호르 비랍에 씁니다. 아르메니아 나흘 중 아라라트를 확실히 볼 수 있는 유일한 자리이고, 산은 오전 빛이라야 보입니다. 대신 마테나다란(중세 필사본 실내 전시)을 뺐습니다.</t>
        </is>
      </c>
      <c r="G210" s="78" t="inlineStr"/>
    </row>
    <row r="211">
      <c r="A211" s="78" t="inlineStr">
        <is>
          <t>10/2</t>
        </is>
      </c>
      <c r="B211" s="78" t="inlineStr">
        <is>
          <t>금</t>
        </is>
      </c>
      <c r="C211" s="78" t="inlineStr"/>
      <c r="D211" s="78" t="inlineStr"/>
      <c r="E211" s="78" t="inlineStr">
        <is>
          <t>주의</t>
        </is>
      </c>
      <c r="F211" s="78" t="inlineStr">
        <is>
          <t>오후는 문 닫는 순서대로 돕니다. GUM 시장이 17~18시, 추모관 박물관동이 16:30 입장 마감, 파라자노프 박물관이 17:00입니다. 호르 비랍에서 남쪽으로 들어오는 길에 GUM을 먼저 치고 서쪽 추모관을 거쳐 도심 쪽 파라자노프로 돌아오면, 세 곳 모두 마감 전에 닿고 되돌아가는 구간도 없습니다.</t>
        </is>
      </c>
      <c r="G211" s="78" t="inlineStr"/>
    </row>
    <row r="212">
      <c r="A212" s="78" t="inlineStr">
        <is>
          <t>10/2</t>
        </is>
      </c>
      <c r="B212" s="78" t="inlineStr">
        <is>
          <t>금</t>
        </is>
      </c>
      <c r="C212" s="78" t="inlineStr"/>
      <c r="D212" s="78" t="inlineStr"/>
      <c r="E212" s="78" t="inlineStr">
        <is>
          <t>주의</t>
        </is>
      </c>
      <c r="F212" s="78" t="inlineStr">
        <is>
          <t>호르 비랍 택시가 아르메니아 구간에서 가장 큰 지출입니다(12,000~15,000드람, 약 4만 7천~5만 8천원). GG 앱으로 대기 1시간 포함 왕복을 협상하면 10,000드람 선까지 내려가기도 하지만, 새벽 비행 전날 아침이라 확실한 발이 낫습니다.</t>
        </is>
      </c>
      <c r="G212" s="78" t="inlineStr"/>
    </row>
    <row r="213">
      <c r="A213" s="78" t="inlineStr">
        <is>
          <t>10/2</t>
        </is>
      </c>
      <c r="B213" s="78" t="inlineStr">
        <is>
          <t>금</t>
        </is>
      </c>
      <c r="C213" s="78" t="inlineStr"/>
      <c r="D213" s="78" t="inlineStr"/>
      <c r="E213" s="78" t="inlineStr">
        <is>
          <t>주의</t>
        </is>
      </c>
      <c r="F213" s="78" t="inlineStr">
        <is>
          <t>시내 이동과 새벽 공항행은 GG 앱을 쓰세요. 길에서 잡는 택시보다 훨씬 싸고(시내 600~1,500드람) 01:30 공항행도 잡힙니다. 불안하면 전날 숙소에도 한 번 부탁해 두세요.</t>
        </is>
      </c>
      <c r="G213" s="78" t="inlineStr"/>
    </row>
    <row r="214">
      <c r="A214" s="79" t="inlineStr"/>
      <c r="B214" s="79" t="inlineStr"/>
      <c r="C214" s="79" t="inlineStr">
        <is>
          <t>✈ 이동</t>
        </is>
      </c>
      <c r="D214" s="79" t="inlineStr"/>
      <c r="E214" s="79" t="inlineStr"/>
      <c r="F214" s="79" t="inlineStr">
        <is>
          <t>10/3 새벽 — 예레반 04:25 → 아테네 06:20 에게안 A3 3899 · XD9TVH</t>
        </is>
      </c>
      <c r="G214" s="79" t="inlineStr">
        <is>
          <t>01:15 기상 → 01:30 택시 → 02:25 공항 도착(2시간 전) → 04:25 이륙. 직항 2시간 55분이지만 시차가 1시간 뒤로 가서 아테네 06:20 도착입니다. 기내에서 조금 더 눈을 붙일 수 있어요. 숙소 체크아웃은 새벽에 하면 되니 프런트에 미리 얘기해두세요.</t>
        </is>
      </c>
    </row>
    <row r="215">
      <c r="A215" s="77" t="inlineStr">
        <is>
          <t>10/3</t>
        </is>
      </c>
      <c r="B215" s="77" t="inlineStr">
        <is>
          <t>토</t>
        </is>
      </c>
      <c r="C215" s="77" t="inlineStr">
        <is>
          <t>아테네 — 06:20 도착, 하루 전체</t>
        </is>
      </c>
      <c r="D215" s="77" t="inlineStr"/>
      <c r="E215" s="77" t="inlineStr"/>
      <c r="F215" s="77" t="inlineStr">
        <is>
          <t>새벽 도착이라 오히려 하루를 가장 길게 씁니다. 다음 날 03:30 기상이라 저녁은 일찍 접습니다.</t>
        </is>
      </c>
      <c r="G215" s="77" t="inlineStr"/>
    </row>
    <row r="216">
      <c r="A216" s="78" t="inlineStr">
        <is>
          <t>10/3</t>
        </is>
      </c>
      <c r="B216" s="78" t="inlineStr">
        <is>
          <t>토</t>
        </is>
      </c>
      <c r="C216" s="78" t="inlineStr"/>
      <c r="D216" s="78" t="inlineStr">
        <is>
          <t>06:20</t>
        </is>
      </c>
      <c r="E216" s="78" t="inlineStr"/>
      <c r="F216" s="78" t="inlineStr">
        <is>
          <t>아테네 공항 도착 · 입국심사</t>
        </is>
      </c>
      <c r="G216" s="78" t="inlineStr">
        <is>
          <t>솅겐 역외 입국이라 심사가 있습니다. 짐 찾고 나오면 대략 06:50</t>
        </is>
      </c>
    </row>
    <row r="217">
      <c r="A217" s="78" t="inlineStr">
        <is>
          <t>10/3</t>
        </is>
      </c>
      <c r="B217" s="78" t="inlineStr">
        <is>
          <t>토</t>
        </is>
      </c>
      <c r="C217" s="78" t="inlineStr"/>
      <c r="D217" s="78" t="inlineStr">
        <is>
          <t>07:00</t>
        </is>
      </c>
      <c r="E217" s="78" t="inlineStr">
        <is>
          <t>메트로 3호선</t>
        </is>
      </c>
      <c r="F217" s="78" t="inlineStr">
        <is>
          <t>공항역 승차</t>
        </is>
      </c>
      <c r="G217" s="78" t="inlineStr">
        <is>
          <t>공항행 직통은 36분 간격이라 편수가 적습니다. 첫차 06:10~06:30 이후 다음 편을 타게 됩니다 · 최악의 경우 07:42 편이라도 신타그마 08:20 도착이라 일정에 지장 없습니다</t>
        </is>
      </c>
    </row>
    <row r="218">
      <c r="A218" s="78" t="inlineStr">
        <is>
          <t>10/3</t>
        </is>
      </c>
      <c r="B218" s="78" t="inlineStr">
        <is>
          <t>토</t>
        </is>
      </c>
      <c r="C218" s="78" t="inlineStr"/>
      <c r="D218" s="78" t="inlineStr">
        <is>
          <t>07:45</t>
        </is>
      </c>
      <c r="E218" s="78" t="inlineStr"/>
      <c r="F218" s="78" t="inlineStr">
        <is>
          <t>신타그마역 도착</t>
        </is>
      </c>
      <c r="G218" s="78" t="inlineStr">
        <is>
          <t>10유로 · 40분 · 아테네 지하철역에는 코인로커가 없습니다. 호텔 얼리 짐보관을 부탁하거나 유료 보관소(5~8유로)를 쓰세요</t>
        </is>
      </c>
    </row>
    <row r="219">
      <c r="A219" s="78" t="inlineStr">
        <is>
          <t>10/3</t>
        </is>
      </c>
      <c r="B219" s="78" t="inlineStr">
        <is>
          <t>토</t>
        </is>
      </c>
      <c r="C219" s="78" t="inlineStr"/>
      <c r="D219" s="78" t="inlineStr">
        <is>
          <t>08:00</t>
        </is>
      </c>
      <c r="E219" s="78" t="inlineStr"/>
      <c r="F219" s="78" t="inlineStr">
        <is>
          <t>숙소에 짐 맡기기</t>
        </is>
      </c>
      <c r="G219" s="78" t="inlineStr">
        <is>
          <t>[사전 확인] 체크인은 오후지만 얼리 짐보관은 대부분 됩니다. 다만 소규모 호스텔은 이른 아침 프런트가 비기도 하니 예약 전에 "08:00 짐 보관 가능한지" 메시지로 확인하세요 · 아크로폴리스는 큰 가방 반입이 안 됩니다. 짐을 놓고 가는 것이 선택이 아니라 필수입니다</t>
        </is>
      </c>
    </row>
    <row r="220">
      <c r="A220" s="78" t="inlineStr">
        <is>
          <t>10/3</t>
        </is>
      </c>
      <c r="B220" s="78" t="inlineStr">
        <is>
          <t>토</t>
        </is>
      </c>
      <c r="C220" s="78" t="inlineStr"/>
      <c r="D220" s="78" t="inlineStr">
        <is>
          <t>08:20</t>
        </is>
      </c>
      <c r="E220" s="78" t="inlineStr"/>
      <c r="F220" s="78" t="inlineStr">
        <is>
          <t>카페에서 아침</t>
        </is>
      </c>
      <c r="G220" s="78" t="inlineStr"/>
    </row>
    <row r="221">
      <c r="A221" s="78" t="inlineStr">
        <is>
          <t>10/3</t>
        </is>
      </c>
      <c r="B221" s="78" t="inlineStr">
        <is>
          <t>토</t>
        </is>
      </c>
      <c r="C221" s="78" t="inlineStr"/>
      <c r="D221" s="78" t="inlineStr">
        <is>
          <t>08:50</t>
        </is>
      </c>
      <c r="E221" s="78" t="inlineStr"/>
      <c r="F221" s="78" t="inlineStr">
        <is>
          <t>아크로폴리스로 도보 이동</t>
        </is>
      </c>
      <c r="G221" s="78" t="inlineStr">
        <is>
          <t>신타그마 → 서쪽(주 출입구) 약 1.2km · 플라카를 통과해 마지막이 오르막 · 20~25분</t>
        </is>
      </c>
    </row>
    <row r="222">
      <c r="A222" s="78" t="inlineStr">
        <is>
          <t>10/3</t>
        </is>
      </c>
      <c r="B222" s="78" t="inlineStr">
        <is>
          <t>토</t>
        </is>
      </c>
      <c r="C222" s="78" t="inlineStr"/>
      <c r="D222" s="78" t="inlineStr">
        <is>
          <t>09:15</t>
        </is>
      </c>
      <c r="E222" s="78" t="inlineStr"/>
      <c r="F222" s="78" t="inlineStr">
        <is>
          <t>아크로폴리스</t>
        </is>
      </c>
      <c r="G222" s="78" t="inlineStr">
        <is>
          <t>[09:00~10:00 예매 완료] 시간대 안이면 언제 들어가도 됩니다. 일찍 닿으면 09:00에 바로 들어가고, 늦어도 10:00 전에만 게이트를 통과하면 됩니다 · 최악의 도착 예상이 09:15이라 45분 여유가 남습니다. 이 날 유일하게 시간에 묶인 항목인데 이제 안전권입니다</t>
        </is>
      </c>
    </row>
    <row r="223">
      <c r="A223" s="78" t="inlineStr">
        <is>
          <t>10/3</t>
        </is>
      </c>
      <c r="B223" s="78" t="inlineStr">
        <is>
          <t>토</t>
        </is>
      </c>
      <c r="C223" s="78" t="inlineStr"/>
      <c r="D223" s="78" t="inlineStr">
        <is>
          <t>11:15</t>
        </is>
      </c>
      <c r="E223" s="78" t="inlineStr"/>
      <c r="F223" s="78" t="inlineStr">
        <is>
          <t>아크로폴리스 박물관</t>
        </is>
      </c>
      <c r="G223" s="78" t="inlineStr"/>
    </row>
    <row r="224">
      <c r="A224" s="78" t="inlineStr">
        <is>
          <t>10/3</t>
        </is>
      </c>
      <c r="B224" s="78" t="inlineStr">
        <is>
          <t>토</t>
        </is>
      </c>
      <c r="C224" s="78" t="inlineStr"/>
      <c r="D224" s="78" t="inlineStr">
        <is>
          <t>12:45</t>
        </is>
      </c>
      <c r="E224" s="78" t="inlineStr"/>
      <c r="F224" s="78" t="inlineStr">
        <is>
          <t>플라카에서 점심</t>
        </is>
      </c>
      <c r="G224" s="78" t="inlineStr"/>
    </row>
    <row r="225">
      <c r="A225" s="78" t="inlineStr">
        <is>
          <t>10/3</t>
        </is>
      </c>
      <c r="B225" s="78" t="inlineStr">
        <is>
          <t>토</t>
        </is>
      </c>
      <c r="C225" s="78" t="inlineStr"/>
      <c r="D225" s="78" t="inlineStr">
        <is>
          <t>14:00</t>
        </is>
      </c>
      <c r="E225" s="78" t="inlineStr"/>
      <c r="F225" s="78" t="inlineStr">
        <is>
          <t>고대 아고라 · 헤파이스토스 신전</t>
        </is>
      </c>
      <c r="G225" s="78" t="inlineStr"/>
    </row>
    <row r="226">
      <c r="A226" s="78" t="inlineStr">
        <is>
          <t>10/3</t>
        </is>
      </c>
      <c r="B226" s="78" t="inlineStr">
        <is>
          <t>토</t>
        </is>
      </c>
      <c r="C226" s="78" t="inlineStr"/>
      <c r="D226" s="78" t="inlineStr">
        <is>
          <t>15:30</t>
        </is>
      </c>
      <c r="E226" s="78" t="inlineStr"/>
      <c r="F226" s="78" t="inlineStr">
        <is>
          <t>모나스티라키 벼룩시장</t>
        </is>
      </c>
      <c r="G226" s="78" t="inlineStr"/>
    </row>
    <row r="227">
      <c r="A227" s="78" t="inlineStr">
        <is>
          <t>10/3</t>
        </is>
      </c>
      <c r="B227" s="78" t="inlineStr">
        <is>
          <t>토</t>
        </is>
      </c>
      <c r="C227" s="78" t="inlineStr"/>
      <c r="D227" s="78" t="inlineStr">
        <is>
          <t>17:00</t>
        </is>
      </c>
      <c r="E227" s="78" t="inlineStr"/>
      <c r="F227" s="78" t="inlineStr">
        <is>
          <t>신타그마 근위병 교대식</t>
        </is>
      </c>
      <c r="G227" s="78" t="inlineStr"/>
    </row>
    <row r="228">
      <c r="A228" s="78" t="inlineStr">
        <is>
          <t>10/3</t>
        </is>
      </c>
      <c r="B228" s="78" t="inlineStr">
        <is>
          <t>토</t>
        </is>
      </c>
      <c r="C228" s="78" t="inlineStr"/>
      <c r="D228" s="78" t="inlineStr">
        <is>
          <t>18:00</t>
        </is>
      </c>
      <c r="E228" s="78" t="inlineStr"/>
      <c r="F228" s="78" t="inlineStr">
        <is>
          <t>호텔 체크인 · 샤워</t>
        </is>
      </c>
      <c r="G228" s="78" t="inlineStr"/>
    </row>
    <row r="229">
      <c r="A229" s="78" t="inlineStr">
        <is>
          <t>10/3</t>
        </is>
      </c>
      <c r="B229" s="78" t="inlineStr">
        <is>
          <t>토</t>
        </is>
      </c>
      <c r="C229" s="78" t="inlineStr"/>
      <c r="D229" s="78" t="inlineStr">
        <is>
          <t>19:00</t>
        </is>
      </c>
      <c r="E229" s="78" t="inlineStr"/>
      <c r="F229" s="78" t="inlineStr">
        <is>
          <t>저녁</t>
        </is>
      </c>
      <c r="G229" s="78" t="inlineStr"/>
    </row>
    <row r="230">
      <c r="A230" s="78" t="inlineStr">
        <is>
          <t>10/3</t>
        </is>
      </c>
      <c r="B230" s="78" t="inlineStr">
        <is>
          <t>토</t>
        </is>
      </c>
      <c r="C230" s="78" t="inlineStr"/>
      <c r="D230" s="78" t="inlineStr">
        <is>
          <t>21:00</t>
        </is>
      </c>
      <c r="E230" s="78" t="inlineStr"/>
      <c r="F230" s="78" t="inlineStr">
        <is>
          <t>호텔 복귀 · 짐 정리</t>
        </is>
      </c>
      <c r="G230" s="78" t="inlineStr">
        <is>
          <t>새벽 출발이 빨라졌으니 저녁을 앞당길 것</t>
        </is>
      </c>
    </row>
    <row r="231">
      <c r="A231" s="78" t="inlineStr">
        <is>
          <t>10/3</t>
        </is>
      </c>
      <c r="B231" s="78" t="inlineStr">
        <is>
          <t>토</t>
        </is>
      </c>
      <c r="C231" s="78" t="inlineStr"/>
      <c r="D231" s="78" t="inlineStr">
        <is>
          <t>21:30</t>
        </is>
      </c>
      <c r="E231" s="78" t="inlineStr"/>
      <c r="F231" s="78" t="inlineStr">
        <is>
          <t>취침</t>
        </is>
      </c>
      <c r="G231" s="78" t="inlineStr"/>
    </row>
    <row r="232">
      <c r="A232" s="78" t="inlineStr">
        <is>
          <t>10/3</t>
        </is>
      </c>
      <c r="B232" s="78" t="inlineStr">
        <is>
          <t>토</t>
        </is>
      </c>
      <c r="C232" s="78" t="inlineStr"/>
      <c r="D232" s="78" t="inlineStr">
        <is>
          <t>03:30</t>
        </is>
      </c>
      <c r="E232" s="78" t="inlineStr"/>
      <c r="F232" s="78" t="inlineStr">
        <is>
          <t>기상</t>
        </is>
      </c>
      <c r="G232" s="78" t="inlineStr">
        <is>
          <t>날짜가 10/4로 넘어갑니다</t>
        </is>
      </c>
    </row>
    <row r="233">
      <c r="A233" s="78" t="inlineStr">
        <is>
          <t>10/3</t>
        </is>
      </c>
      <c r="B233" s="78" t="inlineStr">
        <is>
          <t>토</t>
        </is>
      </c>
      <c r="C233" s="78" t="inlineStr"/>
      <c r="D233" s="78" t="inlineStr">
        <is>
          <t>03:55</t>
        </is>
      </c>
      <c r="E233" s="78" t="inlineStr"/>
      <c r="F233" s="78" t="inlineStr">
        <is>
          <t>체크아웃 · 신타그마 X95 정류장 도착</t>
        </is>
      </c>
      <c r="G233" s="78" t="inlineStr">
        <is>
          <t>정류장은 신타그마 광장 남동쪽 모서리. 야간이라 미리 위치를 확인해두세요</t>
        </is>
      </c>
    </row>
    <row r="234">
      <c r="A234" s="78" t="inlineStr">
        <is>
          <t>10/3</t>
        </is>
      </c>
      <c r="B234" s="78" t="inlineStr">
        <is>
          <t>토</t>
        </is>
      </c>
      <c r="C234" s="78" t="inlineStr"/>
      <c r="D234" s="78" t="inlineStr">
        <is>
          <t>04:10</t>
        </is>
      </c>
      <c r="E234" s="78" t="inlineStr">
        <is>
          <t>X95 공항버스</t>
        </is>
      </c>
      <c r="F234" s="78" t="inlineStr">
        <is>
          <t>공항 이동</t>
        </is>
      </c>
      <c r="G234" s="78" t="inlineStr">
        <is>
          <t>6.20유로 · 24시간 운행이지만 야간은 60분 간격 · 밤 도로가 비어 60~75분</t>
        </is>
      </c>
    </row>
    <row r="235">
      <c r="A235" s="78" t="inlineStr">
        <is>
          <t>10/3</t>
        </is>
      </c>
      <c r="B235" s="78" t="inlineStr">
        <is>
          <t>토</t>
        </is>
      </c>
      <c r="C235" s="78" t="inlineStr"/>
      <c r="D235" s="78" t="inlineStr">
        <is>
          <t>05:20</t>
        </is>
      </c>
      <c r="E235" s="78" t="inlineStr"/>
      <c r="F235" s="78" t="inlineStr">
        <is>
          <t>공항 도착 · 체크인</t>
        </is>
      </c>
      <c r="G235" s="78" t="inlineStr">
        <is>
          <t>07:20 출발 기준 2시간 전</t>
        </is>
      </c>
    </row>
    <row r="236">
      <c r="A236" s="78" t="inlineStr">
        <is>
          <t>10/3</t>
        </is>
      </c>
      <c r="B236" s="78" t="inlineStr">
        <is>
          <t>토</t>
        </is>
      </c>
      <c r="C236" s="78" t="inlineStr"/>
      <c r="D236" s="78" t="inlineStr"/>
      <c r="E236" s="78" t="inlineStr">
        <is>
          <t>주의</t>
        </is>
      </c>
      <c r="F236" s="78" t="inlineStr">
        <is>
          <t>아크로폴리스는 09:00~10:00 시간대로 예매를 마쳤습니다. 도착이 아무리 밀려도 09:15이라 45분이 남습니다. 이제 이 날 시각에 묶인 항목은 없고, 남은 변수는 숙소가 08:00에 짐을 받아주느냐 하나뿐입니다.</t>
        </is>
      </c>
      <c r="G236" s="78" t="inlineStr"/>
    </row>
    <row r="237">
      <c r="A237" s="78" t="inlineStr">
        <is>
          <t>10/3</t>
        </is>
      </c>
      <c r="B237" s="78" t="inlineStr">
        <is>
          <t>토</t>
        </is>
      </c>
      <c r="C237" s="78" t="inlineStr"/>
      <c r="D237" s="78" t="inlineStr"/>
      <c r="E237" s="78" t="inlineStr">
        <is>
          <t>주의</t>
        </is>
      </c>
      <c r="F237" s="78" t="inlineStr">
        <is>
          <t>숙소는 신타그마 근처가 맞습니다. 아크로폴리스까지 도보 20분이기도 하지만, 진짜 이유는 다음 날 새벽 04:10 X95를 신타그마에서 타기 때문입니다. 코우카키(아크로폴리스 남쪽)가 유적에는 더 가깝지만, 그러면 새벽 3시 반에 혼자 20분을 걸어 신타그마까지 와야 합니다.</t>
        </is>
      </c>
      <c r="G237" s="78" t="inlineStr"/>
    </row>
    <row r="238">
      <c r="A238" s="79" t="inlineStr"/>
      <c r="B238" s="79" t="inlineStr"/>
      <c r="C238" s="79" t="inlineStr">
        <is>
          <t>✈ 이동</t>
        </is>
      </c>
      <c r="D238" s="79" t="inlineStr"/>
      <c r="E238" s="79" t="inlineStr"/>
      <c r="F238" s="79" t="inlineStr">
        <is>
          <t>아테네 07:20 → 아부다비 13:05</t>
        </is>
      </c>
      <c r="G238" s="79" t="inlineStr">
        <is>
          <t>비행 약 4시간 45분 (시차 1시간 포함 소요 5시간 45분).</t>
        </is>
      </c>
    </row>
    <row r="239">
      <c r="A239" s="77" t="inlineStr">
        <is>
          <t>10/4</t>
        </is>
      </c>
      <c r="B239" s="77" t="inlineStr">
        <is>
          <t>일</t>
        </is>
      </c>
      <c r="C239" s="77" t="inlineStr">
        <is>
          <t>아부다비 — 낮 40도+</t>
        </is>
      </c>
      <c r="D239" s="77" t="inlineStr"/>
      <c r="E239" s="77" t="inlineStr"/>
      <c r="F239" s="77" t="inlineStr">
        <is>
          <t>루브르와 그랜드 모스크. 둘이 정반대 방향이라 낮 이동은 택시로 끊고, 다음 날 새벽 공항행만 버스를 씁니다.</t>
        </is>
      </c>
      <c r="G239" s="77" t="inlineStr"/>
    </row>
    <row r="240">
      <c r="A240" s="78" t="inlineStr">
        <is>
          <t>10/4</t>
        </is>
      </c>
      <c r="B240" s="78" t="inlineStr">
        <is>
          <t>일</t>
        </is>
      </c>
      <c r="C240" s="78" t="inlineStr"/>
      <c r="D240" s="78" t="inlineStr">
        <is>
          <t>13:05</t>
        </is>
      </c>
      <c r="E240" s="78" t="inlineStr"/>
      <c r="F240" s="78" t="inlineStr">
        <is>
          <t>자이드 국제공항 터미널 A 도착</t>
        </is>
      </c>
      <c r="G240" s="78" t="inlineStr"/>
    </row>
    <row r="241">
      <c r="A241" s="78" t="inlineStr">
        <is>
          <t>10/4</t>
        </is>
      </c>
      <c r="B241" s="78" t="inlineStr">
        <is>
          <t>일</t>
        </is>
      </c>
      <c r="C241" s="78" t="inlineStr"/>
      <c r="D241" s="78" t="inlineStr">
        <is>
          <t>13:50</t>
        </is>
      </c>
      <c r="E241" s="78" t="inlineStr"/>
      <c r="F241" s="78" t="inlineStr">
        <is>
          <t>입국 수속 · 짐 수령</t>
        </is>
      </c>
      <c r="G241" s="78" t="inlineStr"/>
    </row>
    <row r="242">
      <c r="A242" s="78" t="inlineStr">
        <is>
          <t>10/4</t>
        </is>
      </c>
      <c r="B242" s="78" t="inlineStr">
        <is>
          <t>일</t>
        </is>
      </c>
      <c r="C242" s="78" t="inlineStr"/>
      <c r="D242" s="78" t="inlineStr">
        <is>
          <t>14:00</t>
        </is>
      </c>
      <c r="E242" s="78" t="inlineStr">
        <is>
          <t>택시</t>
        </is>
      </c>
      <c r="F242" s="78" t="inlineStr">
        <is>
          <t>TRYP by Wyndham 이동</t>
        </is>
      </c>
      <c r="G242" s="78" t="inlineStr">
        <is>
          <t>칼리파 bin 자이드 St · 30~40분 · 미터 약 90디르함</t>
        </is>
      </c>
    </row>
    <row r="243">
      <c r="A243" s="78" t="inlineStr">
        <is>
          <t>10/4</t>
        </is>
      </c>
      <c r="B243" s="78" t="inlineStr">
        <is>
          <t>일</t>
        </is>
      </c>
      <c r="C243" s="78" t="inlineStr"/>
      <c r="D243" s="78" t="inlineStr">
        <is>
          <t>14:45</t>
        </is>
      </c>
      <c r="E243" s="78" t="inlineStr"/>
      <c r="F243" s="78" t="inlineStr">
        <is>
          <t>체크인 · 휴식</t>
        </is>
      </c>
      <c r="G243" s="78" t="inlineStr">
        <is>
          <t>한낮이 최고기온대. 실내에서 체력을 아껴둘 것</t>
        </is>
      </c>
    </row>
    <row r="244">
      <c r="A244" s="78" t="inlineStr">
        <is>
          <t>10/4</t>
        </is>
      </c>
      <c r="B244" s="78" t="inlineStr">
        <is>
          <t>일</t>
        </is>
      </c>
      <c r="C244" s="78" t="inlineStr"/>
      <c r="D244" s="78" t="inlineStr">
        <is>
          <t>16:00</t>
        </is>
      </c>
      <c r="E244" s="78" t="inlineStr">
        <is>
          <t>택시</t>
        </is>
      </c>
      <c r="F244" s="78" t="inlineStr">
        <is>
          <t>루브르 아부다비</t>
        </is>
      </c>
      <c r="G244" s="78" t="inlineStr">
        <is>
          <t>사디야트 섬 · 약 14km, 20~25분 · 약 45디르함</t>
        </is>
      </c>
    </row>
    <row r="245">
      <c r="A245" s="78" t="inlineStr">
        <is>
          <t>10/4</t>
        </is>
      </c>
      <c r="B245" s="78" t="inlineStr">
        <is>
          <t>일</t>
        </is>
      </c>
      <c r="C245" s="78" t="inlineStr"/>
      <c r="D245" s="78" t="inlineStr">
        <is>
          <t>16:30</t>
        </is>
      </c>
      <c r="E245" s="78" t="inlineStr"/>
      <c r="F245" s="78" t="inlineStr">
        <is>
          <t>루브르 아부다비</t>
        </is>
      </c>
      <c r="G245" s="78" t="inlineStr">
        <is>
          <t>[63디르함] 일요일 20:30 폐장, 최종 입장 20:00 · 월요일 휴관이라 이 날이 유일한 기회입니다</t>
        </is>
      </c>
    </row>
    <row r="246">
      <c r="A246" s="78" t="inlineStr">
        <is>
          <t>10/4</t>
        </is>
      </c>
      <c r="B246" s="78" t="inlineStr">
        <is>
          <t>일</t>
        </is>
      </c>
      <c r="C246" s="78" t="inlineStr"/>
      <c r="D246" s="78" t="inlineStr">
        <is>
          <t>18:45</t>
        </is>
      </c>
      <c r="E246" s="78" t="inlineStr">
        <is>
          <t>택시</t>
        </is>
      </c>
      <c r="F246" s="78" t="inlineStr">
        <is>
          <t>셰이크 자이드 그랜드 모스크</t>
        </is>
      </c>
      <c r="G246" s="78" t="inlineStr">
        <is>
          <t>섬 반대편까지 횡단 약 28km, 30~35분 · 약 75디르함</t>
        </is>
      </c>
    </row>
    <row r="247">
      <c r="A247" s="78" t="inlineStr">
        <is>
          <t>10/4</t>
        </is>
      </c>
      <c r="B247" s="78" t="inlineStr">
        <is>
          <t>일</t>
        </is>
      </c>
      <c r="C247" s="78" t="inlineStr"/>
      <c r="D247" s="78" t="inlineStr">
        <is>
          <t>19:20</t>
        </is>
      </c>
      <c r="E247" s="78" t="inlineStr"/>
      <c r="F247" s="78" t="inlineStr">
        <is>
          <t>셰이크 자이드 그랜드 모스크</t>
        </is>
      </c>
      <c r="G247" s="78" t="inlineStr">
        <is>
          <t>[무료] 일몰이 18:15이라 도착 시점엔 이미 조명이 켜져 있습니다. 온라인 사전 등록 필요, 어깨와 무릎을 가릴 것</t>
        </is>
      </c>
    </row>
    <row r="248">
      <c r="A248" s="78" t="inlineStr">
        <is>
          <t>10/4</t>
        </is>
      </c>
      <c r="B248" s="78" t="inlineStr">
        <is>
          <t>일</t>
        </is>
      </c>
      <c r="C248" s="78" t="inlineStr"/>
      <c r="D248" s="78" t="inlineStr">
        <is>
          <t>21:00</t>
        </is>
      </c>
      <c r="E248" s="78" t="inlineStr">
        <is>
          <t>택시</t>
        </is>
      </c>
      <c r="F248" s="78" t="inlineStr">
        <is>
          <t>호텔 복귀</t>
        </is>
      </c>
      <c r="G248" s="78" t="inlineStr">
        <is>
          <t>약 14km, 18~20분 · 약 45디르함</t>
        </is>
      </c>
    </row>
    <row r="249">
      <c r="A249" s="78" t="inlineStr">
        <is>
          <t>10/4</t>
        </is>
      </c>
      <c r="B249" s="78" t="inlineStr">
        <is>
          <t>일</t>
        </is>
      </c>
      <c r="C249" s="78" t="inlineStr"/>
      <c r="D249" s="78" t="inlineStr">
        <is>
          <t>21:30</t>
        </is>
      </c>
      <c r="E249" s="78" t="inlineStr"/>
      <c r="F249" s="78" t="inlineStr">
        <is>
          <t>호텔 근처에서 저녁</t>
        </is>
      </c>
      <c r="G249" s="78" t="inlineStr">
        <is>
          <t>칼리파 St 일대. 바로 옆 Day to Day에서 기내 간식과 물도 사둘 것</t>
        </is>
      </c>
    </row>
    <row r="250">
      <c r="A250" s="78" t="inlineStr">
        <is>
          <t>10/4</t>
        </is>
      </c>
      <c r="B250" s="78" t="inlineStr">
        <is>
          <t>일</t>
        </is>
      </c>
      <c r="C250" s="78" t="inlineStr"/>
      <c r="D250" s="78" t="inlineStr">
        <is>
          <t>22:30</t>
        </is>
      </c>
      <c r="E250" s="78" t="inlineStr"/>
      <c r="F250" s="78" t="inlineStr">
        <is>
          <t>취침</t>
        </is>
      </c>
      <c r="G250" s="78" t="inlineStr"/>
    </row>
    <row r="251">
      <c r="A251" s="78" t="inlineStr">
        <is>
          <t>10/4</t>
        </is>
      </c>
      <c r="B251" s="78" t="inlineStr">
        <is>
          <t>일</t>
        </is>
      </c>
      <c r="C251" s="78" t="inlineStr"/>
      <c r="D251" s="78" t="inlineStr">
        <is>
          <t>05:00</t>
        </is>
      </c>
      <c r="E251" s="78" t="inlineStr"/>
      <c r="F251" s="78" t="inlineStr">
        <is>
          <t>기상</t>
        </is>
      </c>
      <c r="G251" s="78" t="inlineStr">
        <is>
          <t>날짜가 10/5로 넘어갑니다</t>
        </is>
      </c>
    </row>
    <row r="252">
      <c r="A252" s="78" t="inlineStr">
        <is>
          <t>10/4</t>
        </is>
      </c>
      <c r="B252" s="78" t="inlineStr">
        <is>
          <t>일</t>
        </is>
      </c>
      <c r="C252" s="78" t="inlineStr"/>
      <c r="D252" s="78" t="inlineStr">
        <is>
          <t>05:30</t>
        </is>
      </c>
      <c r="E252" s="78" t="inlineStr">
        <is>
          <t>A2 공항버스</t>
        </is>
      </c>
      <c r="F252" s="78" t="inlineStr">
        <is>
          <t>자이드 국제공항</t>
        </is>
      </c>
      <c r="G252" s="78" t="inlineStr">
        <is>
          <t>4디르함 + 하필라트 카드 10디르함 · 칼리파 bin 자이드 St 정류장 승차 · 40~45분</t>
        </is>
      </c>
    </row>
    <row r="253">
      <c r="A253" s="78" t="inlineStr">
        <is>
          <t>10/4</t>
        </is>
      </c>
      <c r="B253" s="78" t="inlineStr">
        <is>
          <t>일</t>
        </is>
      </c>
      <c r="C253" s="78" t="inlineStr"/>
      <c r="D253" s="78" t="inlineStr">
        <is>
          <t>06:20</t>
        </is>
      </c>
      <c r="E253" s="78" t="inlineStr"/>
      <c r="F253" s="78" t="inlineStr">
        <is>
          <t>공항 도착 · 체크인</t>
        </is>
      </c>
      <c r="G253" s="78" t="inlineStr">
        <is>
          <t>08:35 출발 기준 2시간 15분 전</t>
        </is>
      </c>
    </row>
    <row r="254">
      <c r="A254" s="78" t="inlineStr">
        <is>
          <t>10/4</t>
        </is>
      </c>
      <c r="B254" s="78" t="inlineStr">
        <is>
          <t>일</t>
        </is>
      </c>
      <c r="C254" s="78" t="inlineStr"/>
      <c r="D254" s="78" t="inlineStr"/>
      <c r="E254" s="78" t="inlineStr">
        <is>
          <t>주의</t>
        </is>
      </c>
      <c r="F254" s="78" t="inlineStr">
        <is>
          <t>루브르를 먼저, 모스크를 나중에 두는 순서가 중요합니다. 낮 40도를 실내인 루브르에서 흘려보내고, 해가 진 뒤 조명이 켜진 모스크를 보는 배치예요. 순서를 바꾸면 한낮 뙤약볕에 야외 모스크를 걷고, 루브르는 폐장에 쫓깁니다.</t>
        </is>
      </c>
      <c r="G254" s="78" t="inlineStr"/>
    </row>
    <row r="255">
      <c r="A255" s="78" t="inlineStr">
        <is>
          <t>10/4</t>
        </is>
      </c>
      <c r="B255" s="78" t="inlineStr">
        <is>
          <t>일</t>
        </is>
      </c>
      <c r="C255" s="78" t="inlineStr"/>
      <c r="D255" s="78" t="inlineStr"/>
      <c r="E255" s="78" t="inlineStr">
        <is>
          <t>주의</t>
        </is>
      </c>
      <c r="F255" s="78" t="inlineStr">
        <is>
          <t>하필라트(Hafilat) 카드를 도착 즉시 사두세요. 아부다비 버스는 현금을 받지 않습니다. 터미널 A 도착층 자판기·매표소에서 카드 10디르함 + 충전 4디르함이면 됩니다. 두바이 Nol 카드는 쓸 수 없어요. 다음 날 새벽 A2를 타려면 전날 밤이 아니라 도착 당일에 사둬야 합니다.</t>
        </is>
      </c>
      <c r="G255" s="78" t="inlineStr"/>
    </row>
    <row r="256">
      <c r="A256" s="78" t="inlineStr">
        <is>
          <t>10/4</t>
        </is>
      </c>
      <c r="B256" s="78" t="inlineStr">
        <is>
          <t>일</t>
        </is>
      </c>
      <c r="C256" s="78" t="inlineStr"/>
      <c r="D256" s="78" t="inlineStr"/>
      <c r="E256" s="78" t="inlineStr">
        <is>
          <t>주의</t>
        </is>
      </c>
      <c r="F256" s="78" t="inlineStr">
        <is>
          <t>A2는 60분 간격입니다. 24시간 운행이라는 자료와 시내→공항 첫차가 05:00이라는 자료가 갈리니, 도착일에 터미널 A 매표소나 DARB 앱에서 새벽 시각표를 확인해두세요. 놓치면 택시(약 90디르함)로 전환하면 되도록 현금·카드를 남겨두면 안전합니다. 05:30보다 더 당기지는 마세요 — 그 이전 편은 보장되지 않습니다.</t>
        </is>
      </c>
      <c r="G256" s="78" t="inlineStr"/>
    </row>
    <row r="257">
      <c r="A257" s="79" t="inlineStr"/>
      <c r="B257" s="79" t="inlineStr"/>
      <c r="C257" s="79" t="inlineStr">
        <is>
          <t>✈ 이동</t>
        </is>
      </c>
      <c r="D257" s="79" t="inlineStr"/>
      <c r="E257" s="79" t="inlineStr"/>
      <c r="F257" s="79" t="inlineStr">
        <is>
          <t>아부다비 08:35 → 인천 22:15</t>
        </is>
      </c>
      <c r="G257" s="79" t="inlineStr">
        <is>
          <t>비행 약 8시간 40분 (시차 5시간 포함 소요 13시간 40분). 마지막 구간에서 몰아 자는 것을 목표로.</t>
        </is>
      </c>
    </row>
  </sheetData>
  <autoFilter ref="A4:G257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7" min="1" max="1"/>
    <col width="14" customWidth="1" style="37" min="2" max="2"/>
    <col width="58" customWidth="1" style="37" min="3" max="3"/>
  </cols>
  <sheetData>
    <row r="1" ht="15.75" customHeight="1" s="38">
      <c r="A1" s="39" t="inlineStr">
        <is>
          <t>환율 및 기본 가정</t>
        </is>
      </c>
    </row>
    <row r="3" ht="15" customHeight="1" s="38">
      <c r="A3" s="40" t="inlineStr">
        <is>
          <t>항목</t>
        </is>
      </c>
      <c r="B3" s="40" t="inlineStr">
        <is>
          <t>값</t>
        </is>
      </c>
      <c r="C3" s="40" t="inlineStr">
        <is>
          <t>비고</t>
        </is>
      </c>
    </row>
    <row r="4" ht="15" customHeight="1" s="38">
      <c r="A4" s="41" t="inlineStr">
        <is>
          <t>조지아 라리 (GEL) → 원</t>
        </is>
      </c>
      <c r="B4" s="42" t="n">
        <v>541</v>
      </c>
      <c r="C4" s="43" t="inlineStr">
        <is>
          <t>2026년 8월 6일 조지아·아르메니아 중앙은행 공시 기준 (USD/KRW 1,420 교차 산출)</t>
        </is>
      </c>
    </row>
    <row r="5" ht="15" customHeight="1" s="38">
      <c r="A5" s="41" t="inlineStr">
        <is>
          <t>아르메니아 드람 (AMD) → 원</t>
        </is>
      </c>
      <c r="B5" s="44" t="n">
        <v>3.88</v>
      </c>
      <c r="C5" s="43" t="inlineStr">
        <is>
          <t>2026년 8월 6일 조지아·아르메니아 중앙은행 공시 기준 (USD/KRW 1,420 교차 산출)</t>
        </is>
      </c>
    </row>
    <row r="6" ht="15" customHeight="1" s="38">
      <c r="A6" s="41" t="inlineStr">
        <is>
          <t>유로 (EUR) → 원</t>
        </is>
      </c>
      <c r="B6" s="42" t="n">
        <v>1640</v>
      </c>
      <c r="C6" s="43" t="inlineStr">
        <is>
          <t>2026년 8월 6일 시장환율 — 아테네 구간</t>
        </is>
      </c>
    </row>
    <row r="7" ht="15" customHeight="1" s="38">
      <c r="A7" s="45" t="inlineStr">
        <is>
          <t>UAE 디르함 (AED) → 원</t>
        </is>
      </c>
      <c r="B7" s="42" t="n">
        <v>387</v>
      </c>
      <c r="C7" s="43" t="inlineStr">
        <is>
          <t>2026년 8월 6일 시장환율 (USD 페그 3.6725) — 아부다비 구간</t>
        </is>
      </c>
    </row>
    <row r="8" ht="15" customHeight="1" s="38">
      <c r="A8" s="41" t="inlineStr">
        <is>
          <t>중국 위안 (CNY) → 원</t>
        </is>
      </c>
      <c r="B8" s="42" t="n">
        <v>211</v>
      </c>
      <c r="C8" s="43" t="inlineStr">
        <is>
          <t>2026년 8월 6일 시장환율 — 상하이 경유 구간</t>
        </is>
      </c>
    </row>
    <row r="9" ht="15" customHeight="1" s="38">
      <c r="A9" s="41" t="inlineStr">
        <is>
          <t>인원</t>
        </is>
      </c>
      <c r="B9" s="46" t="n">
        <v>1</v>
      </c>
      <c r="C9" s="47" t="inlineStr">
        <is>
          <t>1인 여행 — 지프·택시 비용을 나눌 사람이 없어 전액 부담</t>
        </is>
      </c>
    </row>
    <row r="10" ht="15" customHeight="1" s="38">
      <c r="A10" s="41" t="inlineStr">
        <is>
          <t>항공권1 — 김포→상하이 + 푸동→트빌리시 (별도 발권 2편)</t>
        </is>
      </c>
      <c r="B10" s="42" t="n">
        <v>446000</v>
      </c>
      <c r="C10" s="47" t="n"/>
    </row>
    <row r="11" ht="15" customHeight="1" s="38">
      <c r="A11" s="41" t="inlineStr">
        <is>
          <t>항공권2 — 예레반→아테네 (에게안 A3 3899 · XD9TVH)</t>
        </is>
      </c>
      <c r="B11" s="42" t="n">
        <v>303900</v>
      </c>
      <c r="C11" s="47" t="n"/>
    </row>
    <row r="12" ht="15" customHeight="1" s="38">
      <c r="A12" s="41" t="inlineStr">
        <is>
          <t>항공권3 — 아테네→아부다비→인천 (아부다비 1박 포함)</t>
        </is>
      </c>
      <c r="B12" s="42" t="n">
        <v>656700</v>
      </c>
      <c r="C12" s="47" t="n"/>
    </row>
    <row r="13" ht="15" customHeight="1" s="38">
      <c r="A13" s="41" t="inlineStr">
        <is>
          <t>항공권 합계</t>
        </is>
      </c>
      <c r="B13" s="48">
        <f>SUM(B10:B12)</f>
        <v/>
      </c>
      <c r="C13" s="43" t="inlineStr">
        <is>
          <t>3편 모두 결제 완료. 이후 환율 변동은 현지 지출에만 영향</t>
        </is>
      </c>
    </row>
    <row r="14" ht="15" customHeight="1" s="38">
      <c r="A14" s="41" t="inlineStr">
        <is>
          <t>총예산 (1인)</t>
        </is>
      </c>
      <c r="B14" s="42" t="n">
        <v>3000000</v>
      </c>
      <c r="C14" s="47" t="inlineStr">
        <is>
          <t>사용자 제시: 300만원</t>
        </is>
      </c>
    </row>
    <row r="15" ht="15" customHeight="1" s="38"/>
    <row r="16" ht="15" customHeight="1" s="38">
      <c r="A16" s="49" t="inlineStr">
        <is>
          <t>노란 셀만 수정하세요. 나머지 시트는 이 값을 참조해 자동 계산됩니다.</t>
        </is>
      </c>
    </row>
    <row r="17" ht="15" customHeight="1" s="38">
      <c r="A17" s="50" t="inlineStr">
        <is>
          <t>환율은 현지 지출에만 적용됩니다 (항공권은 결제 완료로 원화 확정). 전 통화 2026년 8월 6일 기준 — 출발 직전에 한 번 더 갱신하세요.</t>
        </is>
      </c>
    </row>
    <row r="18" ht="15" customHeight="1" s="38">
      <c r="A18" s="49" t="inlineStr">
        <is>
          <t>여행 직전 실제 환율로 한 번 더 갱신하는 것을 권장합니다 — 환율은 매일 바뀝니다.</t>
        </is>
      </c>
    </row>
    <row r="19"/>
    <row r="20"/>
    <row r="21"/>
    <row r="22"/>
    <row r="23"/>
    <row r="24"/>
    <row r="25"/>
    <row r="26"/>
    <row r="2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32" customWidth="1" style="37" min="2" max="2"/>
    <col width="24" customWidth="1" style="37" min="3" max="3"/>
    <col width="8" customWidth="1" style="37" min="4" max="4"/>
    <col width="12" customWidth="1" style="37" min="5" max="5"/>
    <col width="8" customWidth="1" style="37" min="6" max="6"/>
    <col width="12" customWidth="1" style="37" min="7" max="7"/>
    <col width="11" customWidth="1" style="37" min="8" max="8"/>
    <col width="42" customWidth="1" style="37" min="9" max="9"/>
  </cols>
  <sheetData>
    <row r="1" ht="15.75" customHeight="1" s="38">
      <c r="A1" s="39" t="inlineStr">
        <is>
          <t>구간별 교통 — 대중교통 우선</t>
        </is>
      </c>
    </row>
    <row r="2" ht="15" customHeight="1" s="38">
      <c r="A2" s="49" t="inlineStr">
        <is>
          <t>‘대중교통’ 열이 ○ 이면 마르슈르트카·버스·지하철로 갈 수 있는 구간, △ 는 부분적, ✕ 는 택시가 사실상 필수인 구간입니다. 택시 요금은 환율 시트의 인원(현재 1명)으로 나눈 1인 부담액입니다.</t>
        </is>
      </c>
    </row>
    <row r="4" ht="15" customHeight="1" s="38">
      <c r="A4" s="51" t="inlineStr">
        <is>
          <t>날짜</t>
        </is>
      </c>
      <c r="B4" s="51" t="inlineStr">
        <is>
          <t>구간</t>
        </is>
      </c>
      <c r="C4" s="51" t="inlineStr">
        <is>
          <t>수단</t>
        </is>
      </c>
      <c r="D4" s="51" t="inlineStr">
        <is>
          <t>구분</t>
        </is>
      </c>
      <c r="E4" s="51" t="inlineStr">
        <is>
          <t>현지 금액</t>
        </is>
      </c>
      <c r="F4" s="51" t="inlineStr">
        <is>
          <t>통화</t>
        </is>
      </c>
      <c r="G4" s="52" t="inlineStr">
        <is>
          <t>1인 원화</t>
        </is>
      </c>
      <c r="H4" s="51" t="inlineStr">
        <is>
          <t>대중교통</t>
        </is>
      </c>
      <c r="I4" s="51" t="inlineStr">
        <is>
          <t>비고</t>
        </is>
      </c>
    </row>
    <row r="5" ht="15" customHeight="1" s="38">
      <c r="A5" s="45" t="inlineStr">
        <is>
          <t>9/19</t>
        </is>
      </c>
      <c r="B5" s="41" t="inlineStr">
        <is>
          <t>훙차오 공항 T1 → 난징둥루</t>
        </is>
      </c>
      <c r="C5" s="41" t="inlineStr">
        <is>
          <t>지하철 10호선</t>
        </is>
      </c>
      <c r="D5" s="53" t="inlineStr">
        <is>
          <t>시내</t>
        </is>
      </c>
      <c r="E5" s="54" t="n">
        <v>5</v>
      </c>
      <c r="F5" s="45" t="inlineStr">
        <is>
          <t>CNY</t>
        </is>
      </c>
      <c r="G5" s="48">
        <f>ROUND(E5*환율!$B$8/1,0)</f>
        <v/>
      </c>
      <c r="H5" s="55" t="inlineStr">
        <is>
          <t>○</t>
        </is>
      </c>
      <c r="I5" s="47" t="inlineStr">
        <is>
          <t>환승 없이 직통, 약 45분</t>
        </is>
      </c>
    </row>
    <row r="6" ht="15" customHeight="1" s="38">
      <c r="A6" s="45" t="inlineStr">
        <is>
          <t>9/19</t>
        </is>
      </c>
      <c r="B6" s="41" t="inlineStr">
        <is>
          <t>상하이 시내 이동 (예원·와이탄)</t>
        </is>
      </c>
      <c r="C6" s="41" t="inlineStr">
        <is>
          <t>지하철 10호선 · 도보</t>
        </is>
      </c>
      <c r="D6" s="53" t="inlineStr">
        <is>
          <t>시내</t>
        </is>
      </c>
      <c r="E6" s="54" t="n">
        <v>8</v>
      </c>
      <c r="F6" s="45" t="inlineStr">
        <is>
          <t>CNY</t>
        </is>
      </c>
      <c r="G6" s="48">
        <f>ROUND(E6*환율!$B$8/1,0)</f>
        <v/>
      </c>
      <c r="H6" s="55" t="inlineStr">
        <is>
          <t>○</t>
        </is>
      </c>
      <c r="I6" s="43" t="inlineStr">
        <is>
          <t>1회 3~4위안. 대부분 도보권</t>
        </is>
      </c>
    </row>
    <row r="7" ht="15" customHeight="1" s="38">
      <c r="A7" s="45" t="inlineStr">
        <is>
          <t>9/20</t>
        </is>
      </c>
      <c r="B7" s="41" t="inlineStr">
        <is>
          <t>시내 → 푸동 국제공항</t>
        </is>
      </c>
      <c r="C7" s="41" t="inlineStr">
        <is>
          <t>지하철 2호선</t>
        </is>
      </c>
      <c r="D7" s="53" t="inlineStr">
        <is>
          <t>시내</t>
        </is>
      </c>
      <c r="E7" s="54" t="n">
        <v>8</v>
      </c>
      <c r="F7" s="45" t="inlineStr">
        <is>
          <t>CNY</t>
        </is>
      </c>
      <c r="G7" s="48">
        <f>ROUND(E7*환율!$B$8/1,0)</f>
        <v/>
      </c>
      <c r="H7" s="55" t="inlineStr">
        <is>
          <t>○</t>
        </is>
      </c>
      <c r="I7" s="47" t="inlineStr">
        <is>
          <t>광란루역에서 열차 갈아탐, 1시간 15분</t>
        </is>
      </c>
    </row>
    <row r="8" ht="15" customHeight="1" s="38">
      <c r="A8" s="45" t="inlineStr">
        <is>
          <t>9/20</t>
        </is>
      </c>
      <c r="B8" s="41" t="inlineStr">
        <is>
          <t>공항 → 트빌리시 시내</t>
        </is>
      </c>
      <c r="C8" s="41" t="inlineStr">
        <is>
          <t>버스 37번</t>
        </is>
      </c>
      <c r="D8" s="53" t="inlineStr">
        <is>
          <t>시내</t>
        </is>
      </c>
      <c r="E8" s="54" t="n">
        <v>1</v>
      </c>
      <c r="F8" s="45" t="inlineStr">
        <is>
          <t>GEL</t>
        </is>
      </c>
      <c r="G8" s="48">
        <f>ROUND(E8*환율!$B$4/1,0)</f>
        <v/>
      </c>
      <c r="H8" s="55" t="inlineStr">
        <is>
          <t>○</t>
        </is>
      </c>
      <c r="I8" s="43" t="inlineStr">
        <is>
          <t>24시간 운행</t>
        </is>
      </c>
    </row>
    <row r="9" ht="15" customHeight="1" s="38">
      <c r="A9" s="45" t="inlineStr">
        <is>
          <t>9/21</t>
        </is>
      </c>
      <c r="B9" s="41" t="inlineStr">
        <is>
          <t>트빌리시 시내</t>
        </is>
      </c>
      <c r="C9" s="41" t="inlineStr">
        <is>
          <t>지하철·버스 (메트로머니)</t>
        </is>
      </c>
      <c r="D9" s="53" t="inlineStr">
        <is>
          <t>시내</t>
        </is>
      </c>
      <c r="E9" s="54" t="n">
        <v>4</v>
      </c>
      <c r="F9" s="45" t="inlineStr">
        <is>
          <t>GEL</t>
        </is>
      </c>
      <c r="G9" s="48">
        <f>ROUND(E9*환율!$B$4/1,0)</f>
        <v/>
      </c>
      <c r="H9" s="55" t="inlineStr">
        <is>
          <t>○</t>
        </is>
      </c>
      <c r="I9" s="43" t="inlineStr">
        <is>
          <t>하루 이동분</t>
        </is>
      </c>
    </row>
    <row r="10" ht="15" customHeight="1" s="38">
      <c r="A10" s="45" t="inlineStr">
        <is>
          <t>9/21</t>
        </is>
      </c>
      <c r="B10" s="41" t="inlineStr">
        <is>
          <t>리케 공원 → 나리칼라 케이블카</t>
        </is>
      </c>
      <c r="C10" s="41" t="inlineStr">
        <is>
          <t>케이블카 (편도)</t>
        </is>
      </c>
      <c r="D10" s="53" t="inlineStr">
        <is>
          <t>시내</t>
        </is>
      </c>
      <c r="E10" s="54" t="n">
        <v>2.5</v>
      </c>
      <c r="F10" s="45" t="inlineStr">
        <is>
          <t>GEL</t>
        </is>
      </c>
      <c r="G10" s="48">
        <f>ROUND(E10*환율!$B$4/1,0)</f>
        <v/>
      </c>
      <c r="H10" s="55" t="inlineStr">
        <is>
          <t>○</t>
        </is>
      </c>
      <c r="I10" s="43" t="inlineStr">
        <is>
          <t>메트로머니로 결제</t>
        </is>
      </c>
    </row>
    <row r="11" ht="15" customHeight="1" s="38">
      <c r="A11" s="45" t="inlineStr">
        <is>
          <t>9/22</t>
        </is>
      </c>
      <c r="B11" s="41" t="inlineStr">
        <is>
          <t>디두베 → 므츠헤타 왕복</t>
        </is>
      </c>
      <c r="C11" s="41" t="inlineStr">
        <is>
          <t>마르슈르트카</t>
        </is>
      </c>
      <c r="D11" s="53" t="inlineStr">
        <is>
          <t>시외</t>
        </is>
      </c>
      <c r="E11" s="54" t="n">
        <v>3</v>
      </c>
      <c r="F11" s="45" t="inlineStr">
        <is>
          <t>GEL</t>
        </is>
      </c>
      <c r="G11" s="48">
        <f>ROUND(E11*환율!$B$4/1,0)</f>
        <v/>
      </c>
      <c r="H11" s="55" t="inlineStr">
        <is>
          <t>○</t>
        </is>
      </c>
      <c r="I11" s="47" t="inlineStr">
        <is>
          <t>편도 1.5라리 · 수시 운행</t>
        </is>
      </c>
    </row>
    <row r="12" ht="15" customHeight="1" s="38">
      <c r="A12" s="45" t="inlineStr">
        <is>
          <t>9/22</t>
        </is>
      </c>
      <c r="B12" s="41" t="inlineStr">
        <is>
          <t>므츠헤타 → 즈바리 수도원 왕복</t>
        </is>
      </c>
      <c r="C12" s="41" t="inlineStr">
        <is>
          <t>택시 (대기 포함)</t>
        </is>
      </c>
      <c r="D12" s="53" t="inlineStr">
        <is>
          <t>시내</t>
        </is>
      </c>
      <c r="E12" s="54" t="n">
        <v>25</v>
      </c>
      <c r="F12" s="45" t="inlineStr">
        <is>
          <t>GEL</t>
        </is>
      </c>
      <c r="G12" s="48">
        <f>ROUND(E12*환율!$B$4/1,0)</f>
        <v/>
      </c>
      <c r="H12" s="55" t="inlineStr">
        <is>
          <t>✕</t>
        </is>
      </c>
      <c r="I12" s="43" t="inlineStr">
        <is>
          <t>대중교통 없음 · 흥정</t>
        </is>
      </c>
    </row>
    <row r="13" ht="15" customHeight="1" s="38">
      <c r="A13" s="45" t="inlineStr">
        <is>
          <t>9/22</t>
        </is>
      </c>
      <c r="B13" s="41" t="inlineStr">
        <is>
          <t>트빌리시 시내 (국립박물관·벼룩시장)</t>
        </is>
      </c>
      <c r="C13" s="41" t="inlineStr">
        <is>
          <t>지하철·도보</t>
        </is>
      </c>
      <c r="D13" s="53" t="inlineStr">
        <is>
          <t>시내</t>
        </is>
      </c>
      <c r="E13" s="54" t="n">
        <v>2</v>
      </c>
      <c r="F13" s="45" t="inlineStr">
        <is>
          <t>GEL</t>
        </is>
      </c>
      <c r="G13" s="48">
        <f>ROUND(E13*환율!$B$4/1,0)</f>
        <v/>
      </c>
      <c r="H13" s="55" t="inlineStr">
        <is>
          <t>○</t>
        </is>
      </c>
      <c r="I13" s="43" t="inlineStr"/>
    </row>
    <row r="14" ht="15" customHeight="1" s="38">
      <c r="A14" s="45" t="inlineStr">
        <is>
          <t>9/22</t>
        </is>
      </c>
      <c r="B14" s="41" t="inlineStr">
        <is>
          <t>시내 → 오르타찰라 터미널 (심야)</t>
        </is>
      </c>
      <c r="C14" s="41" t="inlineStr">
        <is>
          <t>택시</t>
        </is>
      </c>
      <c r="D14" s="53" t="inlineStr">
        <is>
          <t>시내</t>
        </is>
      </c>
      <c r="E14" s="54" t="n">
        <v>12</v>
      </c>
      <c r="F14" s="45" t="inlineStr">
        <is>
          <t>GEL</t>
        </is>
      </c>
      <c r="G14" s="48">
        <f>ROUND(E14*환율!$B$4/1,0)</f>
        <v/>
      </c>
      <c r="H14" s="55" t="inlineStr">
        <is>
          <t>△</t>
        </is>
      </c>
      <c r="I14" s="47" t="inlineStr">
        <is>
          <t>지하철이 닿지 않음 · 볼트 앱</t>
        </is>
      </c>
    </row>
    <row r="15" ht="15" customHeight="1" s="38">
      <c r="A15" s="45" t="inlineStr">
        <is>
          <t>9/22</t>
        </is>
      </c>
      <c r="B15" s="41" t="inlineStr">
        <is>
          <t>트빌리시 → 주그디디</t>
        </is>
      </c>
      <c r="C15" s="41" t="inlineStr">
        <is>
          <t>야간버스 (OmniBus)</t>
        </is>
      </c>
      <c r="D15" s="53" t="inlineStr">
        <is>
          <t>시외</t>
        </is>
      </c>
      <c r="E15" s="54" t="n">
        <v>35</v>
      </c>
      <c r="F15" s="45" t="inlineStr">
        <is>
          <t>GEL</t>
        </is>
      </c>
      <c r="G15" s="48">
        <f>ROUND(E15*환율!$B$4/1,0)</f>
        <v/>
      </c>
      <c r="H15" s="55" t="inlineStr">
        <is>
          <t>○</t>
        </is>
      </c>
      <c r="I15" s="47" t="inlineStr">
        <is>
          <t>오르타찰라 23:45 발 · 05:30 주그디디역 도착 · 디두베 23:59 발도 있음 · 운행 여부를 출발 전 확인</t>
        </is>
      </c>
    </row>
    <row r="16" ht="15" customHeight="1" s="38">
      <c r="A16" s="45" t="inlineStr">
        <is>
          <t>9/23</t>
        </is>
      </c>
      <c r="B16" s="41" t="inlineStr">
        <is>
          <t>주그디디 → 메스티아</t>
        </is>
      </c>
      <c r="C16" s="41" t="inlineStr">
        <is>
          <t>마르슈르트카 (B안) · 합승택시 (A안)</t>
        </is>
      </c>
      <c r="D16" s="53" t="inlineStr">
        <is>
          <t>시외</t>
        </is>
      </c>
      <c r="E16" s="54" t="n">
        <v>40</v>
      </c>
      <c r="F16" s="45" t="inlineStr">
        <is>
          <t>GEL</t>
        </is>
      </c>
      <c r="G16" s="48">
        <f>ROUND(E16*환율!$B$4/1,0)</f>
        <v/>
      </c>
      <c r="H16" s="55" t="inlineStr">
        <is>
          <t>○</t>
        </is>
      </c>
      <c r="I16" s="47" t="inlineStr">
        <is>
          <t>B안 기준 · 10:00 전후 발 · 3~4시간 · A안 합승택시는 넷이 나누면 1인 70~75라리</t>
        </is>
      </c>
    </row>
    <row r="17" ht="15" customHeight="1" s="38">
      <c r="A17" s="45" t="inlineStr">
        <is>
          <t>9/23</t>
        </is>
      </c>
      <c r="B17" s="41" t="inlineStr">
        <is>
          <t>메스티아 → 자베시 (B안)</t>
        </is>
      </c>
      <c r="C17" s="45" t="inlineStr">
        <is>
          <t>택시</t>
        </is>
      </c>
      <c r="D17" s="53" t="inlineStr">
        <is>
          <t>시외</t>
        </is>
      </c>
      <c r="E17" s="54" t="n">
        <v>50</v>
      </c>
      <c r="F17" s="45" t="inlineStr">
        <is>
          <t>GEL</t>
        </is>
      </c>
      <c r="G17" s="48">
        <f>ROUND(E17*환율!$B$4/1,0)</f>
        <v/>
      </c>
      <c r="H17" s="55" t="inlineStr">
        <is>
          <t>✕</t>
        </is>
      </c>
      <c r="I17" s="47" t="inlineStr">
        <is>
          <t>1일차 찻길 구간을 건너뜀 · 요금 자료가 적어 흥정 · A안(걸어서)이면 0</t>
        </is>
      </c>
    </row>
    <row r="18" ht="15" customHeight="1" s="38">
      <c r="A18" s="45" t="inlineStr">
        <is>
          <t>9/25</t>
        </is>
      </c>
      <c r="B18" s="41" t="inlineStr">
        <is>
          <t>아디시 강 건너기</t>
        </is>
      </c>
      <c r="C18" s="41" t="inlineStr">
        <is>
          <t>말</t>
        </is>
      </c>
      <c r="D18" s="53" t="inlineStr">
        <is>
          <t>시외</t>
        </is>
      </c>
      <c r="E18" s="54" t="n">
        <v>25</v>
      </c>
      <c r="F18" s="45" t="inlineStr">
        <is>
          <t>GEL</t>
        </is>
      </c>
      <c r="G18" s="48">
        <f>ROUND(E18*환율!$B$4/1,0)</f>
        <v/>
      </c>
      <c r="H18" s="55" t="inlineStr">
        <is>
          <t>✕</t>
        </is>
      </c>
      <c r="I18" s="47" t="inlineStr">
        <is>
          <t>다리 없음 · 20~30라리 · 전날 게스트하우스에서 말꾼 확인</t>
        </is>
      </c>
    </row>
    <row r="19" ht="15" customHeight="1" s="38">
      <c r="A19" s="45" t="inlineStr">
        <is>
          <t>9/26</t>
        </is>
      </c>
      <c r="B19" s="41" t="inlineStr">
        <is>
          <t>우쉬굴리 → 메스티아</t>
        </is>
      </c>
      <c r="C19" s="41" t="inlineStr">
        <is>
          <t>공유 밴</t>
        </is>
      </c>
      <c r="D19" s="53" t="inlineStr">
        <is>
          <t>시외</t>
        </is>
      </c>
      <c r="E19" s="54" t="n">
        <v>40</v>
      </c>
      <c r="F19" s="45" t="inlineStr">
        <is>
          <t>GEL</t>
        </is>
      </c>
      <c r="G19" s="48">
        <f>ROUND(E19*환율!$B$4/1,0)</f>
        <v/>
      </c>
      <c r="H19" s="55" t="inlineStr">
        <is>
          <t>△</t>
        </is>
      </c>
      <c r="I19" s="47" t="inlineStr">
        <is>
          <t>넷이 차면 출발 · 1시간 반 안팎 · 정해진 시각 없음</t>
        </is>
      </c>
    </row>
    <row r="20" ht="15" customHeight="1" s="38">
      <c r="A20" s="45" t="inlineStr">
        <is>
          <t>9/26</t>
        </is>
      </c>
      <c r="B20" s="41" t="inlineStr">
        <is>
          <t>메스티아 → 주그디디</t>
        </is>
      </c>
      <c r="C20" s="41" t="inlineStr">
        <is>
          <t>마르슈르트카</t>
        </is>
      </c>
      <c r="D20" s="53" t="inlineStr">
        <is>
          <t>시외</t>
        </is>
      </c>
      <c r="E20" s="54" t="n">
        <v>35</v>
      </c>
      <c r="F20" s="45" t="inlineStr">
        <is>
          <t>GEL</t>
        </is>
      </c>
      <c r="G20" s="48">
        <f>ROUND(E20*환율!$B$4/1,0)</f>
        <v/>
      </c>
      <c r="H20" s="55" t="inlineStr">
        <is>
          <t>○</t>
        </is>
      </c>
      <c r="I20" s="47" t="inlineStr">
        <is>
          <t>확실한 정기편은 08:00 · 오후 편은 9/23 에 확인 · 없으면 택시 차 한 대 약 300라리</t>
        </is>
      </c>
    </row>
    <row r="21" ht="15" customHeight="1" s="38">
      <c r="A21" s="45" t="inlineStr">
        <is>
          <t>9/26</t>
        </is>
      </c>
      <c r="B21" s="41" t="inlineStr">
        <is>
          <t>주그디디 → 트빌리시</t>
        </is>
      </c>
      <c r="C21" s="41" t="inlineStr">
        <is>
          <t>야간버스 (OmniBus)</t>
        </is>
      </c>
      <c r="D21" s="53" t="inlineStr">
        <is>
          <t>시외</t>
        </is>
      </c>
      <c r="E21" s="54" t="n">
        <v>35</v>
      </c>
      <c r="F21" s="45" t="inlineStr">
        <is>
          <t>GEL</t>
        </is>
      </c>
      <c r="G21" s="48">
        <f>ROUND(E21*환율!$B$4/1,0)</f>
        <v/>
      </c>
      <c r="H21" s="55" t="inlineStr">
        <is>
          <t>○</t>
        </is>
      </c>
      <c r="I21" s="47" t="inlineStr">
        <is>
          <t>주그디디역 23:59 발 · 05:20 오르타찰라 도착</t>
        </is>
      </c>
    </row>
    <row r="22" ht="15" customHeight="1" s="38">
      <c r="A22" s="45" t="inlineStr">
        <is>
          <t>9/27</t>
        </is>
      </c>
      <c r="B22" s="41" t="inlineStr">
        <is>
          <t>오르타찰라 → 디두베 터미널</t>
        </is>
      </c>
      <c r="C22" s="41" t="inlineStr">
        <is>
          <t>택시</t>
        </is>
      </c>
      <c r="D22" s="53" t="inlineStr">
        <is>
          <t>시내</t>
        </is>
      </c>
      <c r="E22" s="54" t="n">
        <v>10</v>
      </c>
      <c r="F22" s="45" t="inlineStr">
        <is>
          <t>GEL</t>
        </is>
      </c>
      <c r="G22" s="48">
        <f>ROUND(E22*환율!$B$4/1,0)</f>
        <v/>
      </c>
      <c r="H22" s="55" t="inlineStr">
        <is>
          <t>△</t>
        </is>
      </c>
      <c r="I22" s="47" t="inlineStr">
        <is>
          <t>지하철 첫차 전이라 택시</t>
        </is>
      </c>
    </row>
    <row r="23" ht="15" customHeight="1" s="38">
      <c r="A23" s="45" t="inlineStr">
        <is>
          <t>9/27</t>
        </is>
      </c>
      <c r="B23" s="41" t="inlineStr">
        <is>
          <t>디두베 → 스테판츠민다</t>
        </is>
      </c>
      <c r="C23" s="41" t="inlineStr">
        <is>
          <t>마르슈르트카</t>
        </is>
      </c>
      <c r="D23" s="53" t="inlineStr">
        <is>
          <t>시외</t>
        </is>
      </c>
      <c r="E23" s="54" t="n">
        <v>15</v>
      </c>
      <c r="F23" s="45" t="inlineStr">
        <is>
          <t>GEL</t>
        </is>
      </c>
      <c r="G23" s="48">
        <f>ROUND(E23*환율!$B$4/1,0)</f>
        <v/>
      </c>
      <c r="H23" s="55" t="inlineStr">
        <is>
          <t>○</t>
        </is>
      </c>
      <c r="I23" s="43" t="inlineStr">
        <is>
          <t>3시간 반~4시간</t>
        </is>
      </c>
    </row>
    <row r="24" ht="15" customHeight="1" s="38">
      <c r="A24" s="45" t="inlineStr">
        <is>
          <t>9/27</t>
        </is>
      </c>
      <c r="B24" s="41" t="inlineStr">
        <is>
          <t>스테판츠민다 → 게르게티 교회</t>
        </is>
      </c>
      <c r="C24" s="41" t="inlineStr">
        <is>
          <t>4WD (편도) · 하산은 도보</t>
        </is>
      </c>
      <c r="D24" s="53" t="inlineStr">
        <is>
          <t>시내</t>
        </is>
      </c>
      <c r="E24" s="54" t="n">
        <v>25</v>
      </c>
      <c r="F24" s="45" t="inlineStr">
        <is>
          <t>GEL</t>
        </is>
      </c>
      <c r="G24" s="48">
        <f>ROUND(E24*환율!$B$4/1,0)</f>
        <v/>
      </c>
      <c r="H24" s="55" t="inlineStr">
        <is>
          <t>✕</t>
        </is>
      </c>
      <c r="I24" s="47" t="inlineStr">
        <is>
          <t>오르막 400m</t>
        </is>
      </c>
    </row>
    <row r="25" ht="15" customHeight="1" s="38">
      <c r="A25" s="45" t="inlineStr">
        <is>
          <t>9/28</t>
        </is>
      </c>
      <c r="B25" s="41" t="inlineStr">
        <is>
          <t>스테판츠민다 → 트빌리시</t>
        </is>
      </c>
      <c r="C25" s="41" t="inlineStr">
        <is>
          <t>마르슈르트카</t>
        </is>
      </c>
      <c r="D25" s="53" t="inlineStr">
        <is>
          <t>시외</t>
        </is>
      </c>
      <c r="E25" s="54" t="n">
        <v>15</v>
      </c>
      <c r="F25" s="45" t="inlineStr">
        <is>
          <t>GEL</t>
        </is>
      </c>
      <c r="G25" s="48">
        <f>ROUND(E25*환율!$B$4/1,0)</f>
        <v/>
      </c>
      <c r="H25" s="55" t="inlineStr">
        <is>
          <t>○</t>
        </is>
      </c>
      <c r="I25" s="47" t="inlineStr">
        <is>
          <t>13:30 편</t>
        </is>
      </c>
    </row>
    <row r="26" ht="15" customHeight="1" s="38">
      <c r="A26" s="45" t="inlineStr">
        <is>
          <t>9/28</t>
        </is>
      </c>
      <c r="B26" s="41" t="inlineStr">
        <is>
          <t>디두베 → 시내</t>
        </is>
      </c>
      <c r="C26" s="41" t="inlineStr">
        <is>
          <t>지하철</t>
        </is>
      </c>
      <c r="D26" s="53" t="inlineStr">
        <is>
          <t>시내</t>
        </is>
      </c>
      <c r="E26" s="54" t="n">
        <v>1</v>
      </c>
      <c r="F26" s="45" t="inlineStr">
        <is>
          <t>GEL</t>
        </is>
      </c>
      <c r="G26" s="48">
        <f>ROUND(E26*환율!$B$4/1,0)</f>
        <v/>
      </c>
      <c r="H26" s="55" t="inlineStr">
        <is>
          <t>○</t>
        </is>
      </c>
      <c r="I26" s="47" t="inlineStr"/>
    </row>
    <row r="27" ht="15" customHeight="1" s="38">
      <c r="A27" s="45" t="inlineStr">
        <is>
          <t>9/29</t>
        </is>
      </c>
      <c r="B27" s="41" t="inlineStr">
        <is>
          <t>시내 → 오르타찰라 터미널</t>
        </is>
      </c>
      <c r="C27" s="41" t="inlineStr">
        <is>
          <t>지하철·도보</t>
        </is>
      </c>
      <c r="D27" s="53" t="inlineStr">
        <is>
          <t>시내</t>
        </is>
      </c>
      <c r="E27" s="54" t="n">
        <v>1</v>
      </c>
      <c r="F27" s="45" t="inlineStr">
        <is>
          <t>GEL</t>
        </is>
      </c>
      <c r="G27" s="48">
        <f>ROUND(E27*환율!$B$4/1,0)</f>
        <v/>
      </c>
      <c r="H27" s="55" t="inlineStr">
        <is>
          <t>○</t>
        </is>
      </c>
      <c r="I27" s="43" t="inlineStr"/>
    </row>
    <row r="28" ht="15" customHeight="1" s="38">
      <c r="A28" s="45" t="inlineStr">
        <is>
          <t>9/29</t>
        </is>
      </c>
      <c r="B28" s="41" t="inlineStr">
        <is>
          <t>오르타찰라 → 알라베르디</t>
        </is>
      </c>
      <c r="C28" s="41" t="inlineStr">
        <is>
          <t>합승택시 (예레반행)</t>
        </is>
      </c>
      <c r="D28" s="53" t="inlineStr">
        <is>
          <t>시외</t>
        </is>
      </c>
      <c r="E28" s="54" t="n">
        <v>40</v>
      </c>
      <c r="F28" s="45" t="inlineStr">
        <is>
          <t>GEL</t>
        </is>
      </c>
      <c r="G28" s="48">
        <f>ROUND(E28*환율!$B$4/1,0)</f>
        <v/>
      </c>
      <c r="H28" s="55" t="inlineStr">
        <is>
          <t>○</t>
        </is>
      </c>
      <c r="I28" s="47" t="inlineStr">
        <is>
          <t>국경 통과 포함 · 알라베르디 하차를 미리 요청</t>
        </is>
      </c>
    </row>
    <row r="29" ht="15" customHeight="1" s="38">
      <c r="A29" s="45" t="inlineStr">
        <is>
          <t>9/29</t>
        </is>
      </c>
      <c r="B29" s="41" t="inlineStr">
        <is>
          <t>알라베르디 → 사나힌 · 하흐파트 → 알라베르디</t>
        </is>
      </c>
      <c r="C29" s="41" t="inlineStr">
        <is>
          <t>택시 한 대 (대기 포함)</t>
        </is>
      </c>
      <c r="D29" s="53" t="inlineStr">
        <is>
          <t>시내</t>
        </is>
      </c>
      <c r="E29" s="54" t="n">
        <v>6000</v>
      </c>
      <c r="F29" s="45" t="inlineStr">
        <is>
          <t>AMD</t>
        </is>
      </c>
      <c r="G29" s="48">
        <f>ROUND(E29*환율!$B$5/1,0)</f>
        <v/>
      </c>
      <c r="H29" s="55" t="inlineStr">
        <is>
          <t>○</t>
        </is>
      </c>
      <c r="I29" s="43" t="inlineStr">
        <is>
          <t>버스 네 번(왕복 800드람) 대신 · 1인 전액 부담</t>
        </is>
      </c>
    </row>
    <row r="30" ht="15" customHeight="1" s="38">
      <c r="A30" s="45" t="inlineStr">
        <is>
          <t>9/30</t>
        </is>
      </c>
      <c r="B30" s="41" t="inlineStr">
        <is>
          <t>알라베르디 → 예레반</t>
        </is>
      </c>
      <c r="C30" s="41" t="inlineStr">
        <is>
          <t>마르슈르트카 (바나조르 경유 또는 직행)</t>
        </is>
      </c>
      <c r="D30" s="53" t="inlineStr">
        <is>
          <t>시외</t>
        </is>
      </c>
      <c r="E30" s="54" t="n">
        <v>2500</v>
      </c>
      <c r="F30" s="45" t="inlineStr">
        <is>
          <t>AMD</t>
        </is>
      </c>
      <c r="G30" s="48">
        <f>ROUND(E30*환율!$B$5/1,0)</f>
        <v/>
      </c>
      <c r="H30" s="55" t="inlineStr">
        <is>
          <t>○</t>
        </is>
      </c>
      <c r="I30" s="47" t="inlineStr">
        <is>
          <t>4시간 안팎 · 지나가는 직행이 있으면 그걸 탑니다</t>
        </is>
      </c>
    </row>
    <row r="31" ht="15" customHeight="1" s="38">
      <c r="A31" s="45" t="inlineStr">
        <is>
          <t>9/30</t>
        </is>
      </c>
      <c r="B31" s="41" t="inlineStr">
        <is>
          <t>킬리키아 터미널 ↔ 숙소</t>
        </is>
      </c>
      <c r="C31" s="41" t="inlineStr">
        <is>
          <t>버스 · GG 택시</t>
        </is>
      </c>
      <c r="D31" s="53" t="inlineStr">
        <is>
          <t>시내</t>
        </is>
      </c>
      <c r="E31" s="54" t="n">
        <v>600</v>
      </c>
      <c r="F31" s="45" t="inlineStr">
        <is>
          <t>AMD</t>
        </is>
      </c>
      <c r="G31" s="48">
        <f>ROUND(E31*환율!$B$5/1,0)</f>
        <v/>
      </c>
      <c r="H31" s="55" t="inlineStr">
        <is>
          <t>○</t>
        </is>
      </c>
      <c r="I31" s="43" t="inlineStr">
        <is>
          <t>도착 · 오후 출발 · 저녁 복귀 3회</t>
        </is>
      </c>
    </row>
    <row r="32" ht="15" customHeight="1" s="38">
      <c r="A32" s="45" t="inlineStr">
        <is>
          <t>9/30</t>
        </is>
      </c>
      <c r="B32" s="41" t="inlineStr">
        <is>
          <t>예레반 → 즈바르트노츠</t>
        </is>
      </c>
      <c r="C32" s="41" t="inlineStr">
        <is>
          <t>마르슈르트카 203·204번</t>
        </is>
      </c>
      <c r="D32" s="53" t="inlineStr">
        <is>
          <t>시외</t>
        </is>
      </c>
      <c r="E32" s="54" t="n">
        <v>250</v>
      </c>
      <c r="F32" s="45" t="inlineStr">
        <is>
          <t>AMD</t>
        </is>
      </c>
      <c r="G32" s="48">
        <f>ROUND(E32*환율!$B$5/1,0)</f>
        <v/>
      </c>
      <c r="H32" s="55" t="inlineStr">
        <is>
          <t>○</t>
        </is>
      </c>
      <c r="I32" s="47" t="inlineStr">
        <is>
          <t>킬리키아 발 · 즈바르트노츠 하차 요청</t>
        </is>
      </c>
    </row>
    <row r="33" ht="15" customHeight="1" s="38">
      <c r="A33" s="45" t="inlineStr">
        <is>
          <t>9/30</t>
        </is>
      </c>
      <c r="B33" s="41" t="inlineStr">
        <is>
          <t>즈바르트노츠 → 에치미아진</t>
        </is>
      </c>
      <c r="C33" s="41" t="inlineStr">
        <is>
          <t>택시 또는 같은 버스</t>
        </is>
      </c>
      <c r="D33" s="53" t="inlineStr">
        <is>
          <t>시내</t>
        </is>
      </c>
      <c r="E33" s="54" t="n">
        <v>1000</v>
      </c>
      <c r="F33" s="45" t="inlineStr">
        <is>
          <t>AMD</t>
        </is>
      </c>
      <c r="G33" s="48">
        <f>ROUND(E33*환율!$B$5/1,0)</f>
        <v/>
      </c>
      <c r="H33" s="55" t="inlineStr">
        <is>
          <t>○</t>
        </is>
      </c>
      <c r="I33" s="43" t="inlineStr">
        <is>
          <t>서쪽 4km · 버스를 다시 타면 0에 가깝습니다</t>
        </is>
      </c>
    </row>
    <row r="34" ht="15" customHeight="1" s="38">
      <c r="A34" s="45" t="inlineStr">
        <is>
          <t>9/30</t>
        </is>
      </c>
      <c r="B34" s="41" t="inlineStr">
        <is>
          <t>에치미아진 → 예레반</t>
        </is>
      </c>
      <c r="C34" s="41" t="inlineStr">
        <is>
          <t>마르슈르트카</t>
        </is>
      </c>
      <c r="D34" s="53" t="inlineStr">
        <is>
          <t>시외</t>
        </is>
      </c>
      <c r="E34" s="54" t="n">
        <v>250</v>
      </c>
      <c r="F34" s="45" t="inlineStr">
        <is>
          <t>AMD</t>
        </is>
      </c>
      <c r="G34" s="48">
        <f>ROUND(E34*환율!$B$5/1,0)</f>
        <v/>
      </c>
      <c r="H34" s="55" t="inlineStr">
        <is>
          <t>○</t>
        </is>
      </c>
      <c r="I34" s="47" t="inlineStr">
        <is>
          <t>킬리키아 터미널행</t>
        </is>
      </c>
    </row>
    <row r="35" ht="15" customHeight="1" s="38">
      <c r="A35" s="45" t="inlineStr">
        <is>
          <t>10/1</t>
        </is>
      </c>
      <c r="B35" s="41" t="inlineStr">
        <is>
          <t>시내 ↔ 가이 정류장</t>
        </is>
      </c>
      <c r="C35" s="41" t="inlineStr">
        <is>
          <t>63번 버스</t>
        </is>
      </c>
      <c r="D35" s="53" t="inlineStr">
        <is>
          <t>시내</t>
        </is>
      </c>
      <c r="E35" s="54" t="n">
        <v>200</v>
      </c>
      <c r="F35" s="45" t="inlineStr">
        <is>
          <t>AMD</t>
        </is>
      </c>
      <c r="G35" s="48">
        <f>ROUND(E35*환율!$B$5/1,0)</f>
        <v/>
      </c>
      <c r="H35" s="55" t="inlineStr">
        <is>
          <t>○</t>
        </is>
      </c>
      <c r="I35" s="43" t="inlineStr">
        <is>
          <t>왕복 · 편도 100드람 · 30분</t>
        </is>
      </c>
    </row>
    <row r="36" ht="15" customHeight="1" s="38">
      <c r="A36" s="45" t="inlineStr">
        <is>
          <t>10/1</t>
        </is>
      </c>
      <c r="B36" s="41" t="inlineStr">
        <is>
          <t>가이 정류장 ↔ 고흐트 · 가르니</t>
        </is>
      </c>
      <c r="C36" s="41" t="inlineStr">
        <is>
          <t>266·284번 버스</t>
        </is>
      </c>
      <c r="D36" s="53" t="inlineStr">
        <is>
          <t>시외</t>
        </is>
      </c>
      <c r="E36" s="54" t="n">
        <v>500</v>
      </c>
      <c r="F36" s="45" t="inlineStr">
        <is>
          <t>AMD</t>
        </is>
      </c>
      <c r="G36" s="48">
        <f>ROUND(E36*환율!$B$5/1,0)</f>
        <v/>
      </c>
      <c r="H36" s="55" t="inlineStr">
        <is>
          <t>○</t>
        </is>
      </c>
      <c r="I36" s="47" t="inlineStr">
        <is>
          <t>편도 250드람 · 종점은 고흐트 · 편수는 자료마다 다름</t>
        </is>
      </c>
    </row>
    <row r="37" ht="15" customHeight="1" s="38">
      <c r="A37" s="45" t="inlineStr">
        <is>
          <t>10/1</t>
        </is>
      </c>
      <c r="B37" s="41" t="inlineStr">
        <is>
          <t>고흐트 → 게하르트 → 가르니</t>
        </is>
      </c>
      <c r="C37" s="41" t="inlineStr">
        <is>
          <t>택시 (대기 포함)</t>
        </is>
      </c>
      <c r="D37" s="53" t="inlineStr">
        <is>
          <t>시내</t>
        </is>
      </c>
      <c r="E37" s="54" t="n">
        <v>3000</v>
      </c>
      <c r="F37" s="45" t="inlineStr">
        <is>
          <t>AMD</t>
        </is>
      </c>
      <c r="G37" s="48">
        <f>ROUND(E37*환율!$B$5/1,0)</f>
        <v/>
      </c>
      <c r="H37" s="55" t="inlineStr">
        <is>
          <t>✕</t>
        </is>
      </c>
      <c r="I37" s="47" t="inlineStr">
        <is>
          <t>게하르트 구간은 대중교통 없음 · 1인 전액 부담</t>
        </is>
      </c>
    </row>
    <row r="38" ht="15" customHeight="1" s="38">
      <c r="A38" s="45" t="inlineStr">
        <is>
          <t>10/2</t>
        </is>
      </c>
      <c r="B38" s="41" t="inlineStr">
        <is>
          <t>예레반 ↔ 호르 비랍</t>
        </is>
      </c>
      <c r="C38" s="41" t="inlineStr">
        <is>
          <t>택시 왕복 (대기 포함)</t>
        </is>
      </c>
      <c r="D38" s="53" t="inlineStr">
        <is>
          <t>시외</t>
        </is>
      </c>
      <c r="E38" s="54" t="n">
        <v>12000</v>
      </c>
      <c r="F38" s="45" t="inlineStr">
        <is>
          <t>AMD</t>
        </is>
      </c>
      <c r="G38" s="48">
        <f>ROUND(E38*환율!$B$5/1,0)</f>
        <v/>
      </c>
      <c r="H38" s="55" t="inlineStr">
        <is>
          <t>△</t>
        </is>
      </c>
      <c r="I38" s="47" t="inlineStr">
        <is>
          <t>12,000~15,000드람 · GG 왕복 협상 시 10,000 선 · 아르메니아 구간 최대 지출</t>
        </is>
      </c>
    </row>
    <row r="39" ht="15" customHeight="1" s="38">
      <c r="A39" s="45" t="inlineStr">
        <is>
          <t>10/2</t>
        </is>
      </c>
      <c r="B39" s="41" t="inlineStr">
        <is>
          <t>예레반 시내 (GUM → 추모관 → 파라자노프)</t>
        </is>
      </c>
      <c r="C39" s="41" t="inlineStr">
        <is>
          <t>GG 택시 2회</t>
        </is>
      </c>
      <c r="D39" s="53" t="inlineStr">
        <is>
          <t>시내</t>
        </is>
      </c>
      <c r="E39" s="54" t="n">
        <v>2000</v>
      </c>
      <c r="F39" s="45" t="inlineStr">
        <is>
          <t>AMD</t>
        </is>
      </c>
      <c r="G39" s="48">
        <f>ROUND(E39*환율!$B$5/1,0)</f>
        <v/>
      </c>
      <c r="H39" s="55" t="inlineStr">
        <is>
          <t>○</t>
        </is>
      </c>
      <c r="I39" s="43" t="inlineStr">
        <is>
          <t>회당 600~1,500드람 · 파라자노프에서 숙소까지는 걸어갑니다</t>
        </is>
      </c>
    </row>
    <row r="40" ht="15" customHeight="1" s="38">
      <c r="A40" s="45" t="inlineStr">
        <is>
          <t>10/3</t>
        </is>
      </c>
      <c r="B40" s="41" t="inlineStr">
        <is>
          <t>예레반 → 즈바르트노츠 공항</t>
        </is>
      </c>
      <c r="C40" s="41" t="inlineStr">
        <is>
          <t>택시 (GG 앱)</t>
        </is>
      </c>
      <c r="D40" s="53" t="inlineStr">
        <is>
          <t>시내</t>
        </is>
      </c>
      <c r="E40" s="54" t="n">
        <v>4000</v>
      </c>
      <c r="F40" s="45" t="inlineStr">
        <is>
          <t>AMD</t>
        </is>
      </c>
      <c r="G40" s="48">
        <f>ROUND(E40*환율!$B$5/1,0)</f>
        <v/>
      </c>
      <c r="H40" s="55" t="inlineStr">
        <is>
          <t>△</t>
        </is>
      </c>
      <c r="I40" s="43" t="inlineStr">
        <is>
          <t>01:30경 출발 · GG 앱으로 새벽에도 잡힙니다 · 심야 할증 감안</t>
        </is>
      </c>
    </row>
    <row r="41" ht="15" customHeight="1" s="38">
      <c r="A41" s="45" t="inlineStr">
        <is>
          <t>10/3</t>
        </is>
      </c>
      <c r="B41" s="41" t="inlineStr">
        <is>
          <t>아테네 공항 → 신타그마역</t>
        </is>
      </c>
      <c r="C41" s="41" t="inlineStr">
        <is>
          <t>메트로 3호선</t>
        </is>
      </c>
      <c r="D41" s="53" t="inlineStr">
        <is>
          <t>시내</t>
        </is>
      </c>
      <c r="E41" s="54" t="n">
        <v>10</v>
      </c>
      <c r="F41" s="45" t="inlineStr">
        <is>
          <t>EUR</t>
        </is>
      </c>
      <c r="G41" s="48">
        <f>ROUND(E41*환율!$B$6/1,0)</f>
        <v/>
      </c>
      <c r="H41" s="55" t="inlineStr">
        <is>
          <t>○</t>
        </is>
      </c>
      <c r="I41" s="43" t="inlineStr">
        <is>
          <t>공항선 정액 10유로, 40분</t>
        </is>
      </c>
    </row>
    <row r="42" ht="15" customHeight="1" s="38">
      <c r="A42" s="45" t="inlineStr">
        <is>
          <t>10/3</t>
        </is>
      </c>
      <c r="B42" s="41" t="inlineStr">
        <is>
          <t>아테네 시내 이동</t>
        </is>
      </c>
      <c r="C42" s="41" t="inlineStr">
        <is>
          <t>메트로·트램 4~5회</t>
        </is>
      </c>
      <c r="D42" s="53" t="inlineStr">
        <is>
          <t>시내</t>
        </is>
      </c>
      <c r="E42" s="54" t="n">
        <v>6</v>
      </c>
      <c r="F42" s="45" t="inlineStr">
        <is>
          <t>EUR</t>
        </is>
      </c>
      <c r="G42" s="48">
        <f>ROUND(E42*환율!$B$6/1,0)</f>
        <v/>
      </c>
      <c r="H42" s="55" t="inlineStr">
        <is>
          <t>○</t>
        </is>
      </c>
      <c r="I42" s="43" t="inlineStr">
        <is>
          <t>1회 1.20유로. 대부분 도보권이라 보조 수단</t>
        </is>
      </c>
    </row>
    <row r="43" ht="15" customHeight="1" s="38">
      <c r="A43" s="45" t="inlineStr">
        <is>
          <t>10/4</t>
        </is>
      </c>
      <c r="B43" s="41" t="inlineStr">
        <is>
          <t>아테네 → 공항 (04:10 출발)</t>
        </is>
      </c>
      <c r="C43" s="41" t="inlineStr">
        <is>
          <t>X95 공항버스</t>
        </is>
      </c>
      <c r="D43" s="53" t="inlineStr">
        <is>
          <t>시내</t>
        </is>
      </c>
      <c r="E43" s="54" t="n">
        <v>6.2</v>
      </c>
      <c r="F43" s="45" t="inlineStr">
        <is>
          <t>EUR</t>
        </is>
      </c>
      <c r="G43" s="48">
        <f>ROUND(E43*환율!$B$6/1,0)</f>
        <v/>
      </c>
      <c r="H43" s="55" t="inlineStr">
        <is>
          <t>○</t>
        </is>
      </c>
      <c r="I43" s="47" t="inlineStr">
        <is>
          <t>신타그마 발 24시간 운행 · 야간 60분 간격이라 03:55까지 정류장 도착 · 승차권은 전날 지하철역에서 미리 구입 · 택시는 심야 정액 55유로</t>
        </is>
      </c>
    </row>
    <row r="44">
      <c r="A44" s="45" t="inlineStr">
        <is>
          <t>10/4</t>
        </is>
      </c>
      <c r="B44" s="41" t="inlineStr">
        <is>
          <t>자이드 국제공항 → TRYP 호텔</t>
        </is>
      </c>
      <c r="C44" s="41" t="inlineStr">
        <is>
          <t>택시</t>
        </is>
      </c>
      <c r="D44" s="53" t="inlineStr">
        <is>
          <t>시내</t>
        </is>
      </c>
      <c r="E44" s="54" t="n">
        <v>90</v>
      </c>
      <c r="F44" s="45" t="inlineStr">
        <is>
          <t>AED</t>
        </is>
      </c>
      <c r="G44" s="48">
        <f>ROUND(E44*환율!$B$7/1,0)</f>
        <v/>
      </c>
      <c r="H44" s="55" t="inlineStr">
        <is>
          <t>✕</t>
        </is>
      </c>
      <c r="I44" s="47" t="inlineStr">
        <is>
          <t>칼리파 bin 자이드 St · 30~40분 · 미터 약 85~100디르함</t>
        </is>
      </c>
    </row>
    <row r="45">
      <c r="A45" s="45" t="inlineStr">
        <is>
          <t>10/4</t>
        </is>
      </c>
      <c r="B45" s="41" t="inlineStr">
        <is>
          <t>TRYP 호텔 → 루브르 아부다비</t>
        </is>
      </c>
      <c r="C45" s="41" t="inlineStr">
        <is>
          <t>택시</t>
        </is>
      </c>
      <c r="D45" s="53" t="inlineStr">
        <is>
          <t>시내</t>
        </is>
      </c>
      <c r="E45" s="54" t="n">
        <v>45</v>
      </c>
      <c r="F45" s="45" t="inlineStr">
        <is>
          <t>AED</t>
        </is>
      </c>
      <c r="G45" s="48">
        <f>ROUND(E45*환율!$B$7/1,0)</f>
        <v/>
      </c>
      <c r="H45" s="55" t="inlineStr">
        <is>
          <t>✕</t>
        </is>
      </c>
      <c r="I45" s="47" t="inlineStr">
        <is>
          <t>사디야트 섬 · 약 14km, 20~25분</t>
        </is>
      </c>
    </row>
    <row r="46">
      <c r="A46" s="45" t="inlineStr">
        <is>
          <t>10/4</t>
        </is>
      </c>
      <c r="B46" s="41" t="inlineStr">
        <is>
          <t>루브르 → 셰이크 자이드 모스크</t>
        </is>
      </c>
      <c r="C46" s="41" t="inlineStr">
        <is>
          <t>택시</t>
        </is>
      </c>
      <c r="D46" s="53" t="inlineStr">
        <is>
          <t>시내</t>
        </is>
      </c>
      <c r="E46" s="54" t="n">
        <v>75</v>
      </c>
      <c r="F46" s="45" t="inlineStr">
        <is>
          <t>AED</t>
        </is>
      </c>
      <c r="G46" s="48">
        <f>ROUND(E46*환율!$B$7/1,0)</f>
        <v/>
      </c>
      <c r="H46" s="55" t="inlineStr">
        <is>
          <t>✕</t>
        </is>
      </c>
      <c r="I46" s="47" t="inlineStr">
        <is>
          <t>섬 반대편 횡단 약 28km, 30~35분 · 94번 버스면 2디르함이나 60~75분</t>
        </is>
      </c>
    </row>
    <row r="47">
      <c r="A47" s="45" t="inlineStr">
        <is>
          <t>10/4</t>
        </is>
      </c>
      <c r="B47" s="41" t="inlineStr">
        <is>
          <t>모스크 → TRYP 호텔</t>
        </is>
      </c>
      <c r="C47" s="41" t="inlineStr">
        <is>
          <t>택시</t>
        </is>
      </c>
      <c r="D47" s="53" t="inlineStr">
        <is>
          <t>시내</t>
        </is>
      </c>
      <c r="E47" s="54" t="n">
        <v>45</v>
      </c>
      <c r="F47" s="45" t="inlineStr">
        <is>
          <t>AED</t>
        </is>
      </c>
      <c r="G47" s="48">
        <f>ROUND(E47*환율!$B$7/1,0)</f>
        <v/>
      </c>
      <c r="H47" s="55" t="inlineStr">
        <is>
          <t>✕</t>
        </is>
      </c>
      <c r="I47" s="47" t="inlineStr">
        <is>
          <t>약 14km, 18~20분</t>
        </is>
      </c>
    </row>
    <row r="48">
      <c r="A48" s="45" t="inlineStr">
        <is>
          <t>10/5</t>
        </is>
      </c>
      <c r="B48" s="41" t="inlineStr">
        <is>
          <t>TRYP 호텔 → 공항 (05:30)</t>
        </is>
      </c>
      <c r="C48" s="41" t="inlineStr">
        <is>
          <t>A2 공항버스</t>
        </is>
      </c>
      <c r="D48" s="53" t="inlineStr">
        <is>
          <t>시내</t>
        </is>
      </c>
      <c r="E48" s="54" t="n">
        <v>14</v>
      </c>
      <c r="F48" s="45" t="inlineStr">
        <is>
          <t>AED</t>
        </is>
      </c>
      <c r="G48" s="48">
        <f>ROUND(E48*환율!$B$7/1,0)</f>
        <v/>
      </c>
      <c r="H48" s="55" t="inlineStr">
        <is>
          <t>○</t>
        </is>
      </c>
      <c r="I48" s="47" t="inlineStr">
        <is>
          <t>버스 4디르함 + 하필라트 카드 10디르함 · 칼리파 bin 자이드 St 승차 · 40~45분</t>
        </is>
      </c>
    </row>
    <row r="49">
      <c r="A49" s="56" t="inlineStr">
        <is>
          <t>교통비 합계</t>
        </is>
      </c>
      <c r="B49" s="57" t="n"/>
      <c r="C49" s="57" t="n"/>
      <c r="D49" s="57" t="n"/>
      <c r="E49" s="57" t="n"/>
      <c r="F49" s="57" t="n"/>
      <c r="G49" s="58">
        <f>SUM(G5:G48)</f>
        <v/>
      </c>
      <c r="H49" s="57" t="n"/>
      <c r="I49" s="57" t="n"/>
    </row>
    <row r="50">
      <c r="A50" s="37" t="n"/>
    </row>
    <row r="51">
      <c r="A51" s="49" t="inlineStr">
        <is>
          <t>야간버스 2회(트빌리시↔주그디디, 각 35라리)는 교통비이면서 동시에 숙박비를 대신합니다 — 9/22·9/26 의 숙박비가 0원인 이유입니다.</t>
        </is>
      </c>
    </row>
    <row r="52">
      <c r="A52" s="49" t="inlineStr">
        <is>
          <t>가는 야간버스가 중단돼 있으면 트빌리시 1박을 더하고 디두베→메스티아 직행 마르슈르트카(50라리, 9시간)로 대체합니다 — 교통비는 25라리 줄고 숙박비 15,689원이 늘어 거의 같습니다. 오는 편이 안 뜨면 주그디디 1박이 붙고 카즈베기 도착이 9/27 저녁으로 밀립니다.</t>
        </is>
      </c>
    </row>
    <row r="53">
      <c r="A53" t="inlineStr">
        <is>
          <t>9/23 은 B안(마르슈르트카 40 + 자베시 택시 50라리) 기준입니다. A안(새벽 합승택시 1인 70~75라리, 걸어서 자베시)이면 조금 줄지만 동행을 찾아야 합니다.</t>
        </is>
      </c>
    </row>
    <row r="54">
      <c r="A54" t="inlineStr">
        <is>
          <t>9/26 오후 메스티아→주그디디 편이 없으면 택시(차 한 대 약 300라리, 약 16만원)가 필요합니다 — 예비비를 넘으니 9/23 에 메스티아에서 미리 확인하세요.</t>
        </is>
      </c>
    </row>
    <row r="55">
      <c r="A55" t="inlineStr">
        <is>
          <t>카즈베기는 1박이라 게르게티 4WD 외에 산악 택시가 들지 않습니다. 거기서 아낀 하루가 예레반 3박째가 됐습니다.</t>
        </is>
      </c>
    </row>
    <row r="56">
      <c r="A56" t="inlineStr">
        <is>
          <t>아르메니아 나흘에서 택시가 새로 붙은 곳은 두 군데입니다 — 9/29 알라베르디(버스 네 번 대신 택시 한 대, 6,000드람)와 10/2 호르 비랍(왕복 12,000드람). 에치미아진·즈바르트노츠(9/30)는 마르슈르트카로 가야 예비비가 남습니다.</t>
        </is>
      </c>
    </row>
    <row r="57"/>
    <row r="58"/>
    <row r="59"/>
    <row r="60"/>
    <row r="61"/>
    <row r="6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34" customWidth="1" style="37" min="2" max="2"/>
    <col width="12" customWidth="1" style="37" min="3" max="3"/>
    <col width="8" customWidth="1" style="37" min="4" max="4"/>
    <col width="12" customWidth="1" style="37" min="5" max="5"/>
    <col width="40" customWidth="1" style="37" min="6" max="6"/>
  </cols>
  <sheetData>
    <row r="1" ht="15.75" customHeight="1" s="38">
      <c r="A1" s="39" t="inlineStr">
        <is>
          <t>입장료 — 수도원은 대부분 무료</t>
        </is>
      </c>
    </row>
    <row r="3" ht="15" customHeight="1" s="38">
      <c r="A3" s="40" t="inlineStr">
        <is>
          <t>날짜</t>
        </is>
      </c>
      <c r="B3" s="40" t="inlineStr">
        <is>
          <t>장소</t>
        </is>
      </c>
      <c r="C3" s="40" t="inlineStr">
        <is>
          <t>현지 금액</t>
        </is>
      </c>
      <c r="D3" s="40" t="inlineStr">
        <is>
          <t>통화</t>
        </is>
      </c>
      <c r="E3" s="40" t="inlineStr">
        <is>
          <t>원화</t>
        </is>
      </c>
      <c r="F3" s="40" t="inlineStr">
        <is>
          <t>비고</t>
        </is>
      </c>
    </row>
    <row r="4" ht="15" customHeight="1" s="38">
      <c r="A4" s="45" t="inlineStr">
        <is>
          <t>9/19</t>
        </is>
      </c>
      <c r="B4" s="41" t="inlineStr">
        <is>
          <t>예원 (豫园)</t>
        </is>
      </c>
      <c r="C4" s="54" t="n">
        <v>40</v>
      </c>
      <c r="D4" s="45" t="inlineStr">
        <is>
          <t>CNY</t>
        </is>
      </c>
      <c r="E4" s="48">
        <f>ROUND(C4*환율!$B$8,0)</f>
        <v/>
      </c>
      <c r="F4" s="47" t="inlineStr">
        <is>
          <t>09:00~16:30 폐장(매표 마감 더 이름) · 9월은 성수기 요금 40위안</t>
        </is>
      </c>
    </row>
    <row r="5" ht="15" customHeight="1" s="38">
      <c r="A5" s="45" t="inlineStr">
        <is>
          <t>9/21</t>
        </is>
      </c>
      <c r="B5" s="41" t="inlineStr">
        <is>
          <t>아바노투바니 유황온천 (공용탕)</t>
        </is>
      </c>
      <c r="C5" s="54" t="n">
        <v>5</v>
      </c>
      <c r="D5" s="45" t="inlineStr">
        <is>
          <t>GEL</t>
        </is>
      </c>
      <c r="E5" s="48">
        <f>ROUND(C5*환율!$B$4,0)</f>
        <v/>
      </c>
      <c r="F5" s="47" t="inlineStr">
        <is>
          <t>공용탕 기준 · 개인실은 더 비쌈</t>
        </is>
      </c>
    </row>
    <row r="6" ht="15" customHeight="1" s="38">
      <c r="A6" s="45" t="inlineStr">
        <is>
          <t>9/21</t>
        </is>
      </c>
      <c r="B6" s="41" t="inlineStr">
        <is>
          <t>나리칼라 요새</t>
        </is>
      </c>
      <c r="C6" s="54" t="n">
        <v>0</v>
      </c>
      <c r="D6" s="45" t="inlineStr">
        <is>
          <t>GEL</t>
        </is>
      </c>
      <c r="E6" s="48">
        <f>ROUND(C6*환율!$B$4,0)</f>
        <v/>
      </c>
      <c r="F6" s="47" t="inlineStr">
        <is>
          <t>무료 · 상시 개방</t>
        </is>
      </c>
    </row>
    <row r="7" ht="15" customHeight="1" s="38">
      <c r="A7" s="45" t="inlineStr">
        <is>
          <t>9/22</t>
        </is>
      </c>
      <c r="B7" s="41" t="inlineStr">
        <is>
          <t>스베티츠호벨리 대성당</t>
        </is>
      </c>
      <c r="C7" s="54" t="n">
        <v>0</v>
      </c>
      <c r="D7" s="45" t="inlineStr">
        <is>
          <t>GEL</t>
        </is>
      </c>
      <c r="E7" s="48">
        <f>ROUND(C7*환율!$B$4,0)</f>
        <v/>
      </c>
      <c r="F7" s="47" t="inlineStr">
        <is>
          <t>무료 · 어깨·무릎을 가려야 함</t>
        </is>
      </c>
    </row>
    <row r="8" ht="15" customHeight="1" s="38">
      <c r="A8" s="45" t="inlineStr">
        <is>
          <t>9/22</t>
        </is>
      </c>
      <c r="B8" s="41" t="inlineStr">
        <is>
          <t>즈바리 수도원</t>
        </is>
      </c>
      <c r="C8" s="54" t="n">
        <v>0</v>
      </c>
      <c r="D8" s="45" t="inlineStr">
        <is>
          <t>GEL</t>
        </is>
      </c>
      <c r="E8" s="48">
        <f>ROUND(C8*환율!$B$4,0)</f>
        <v/>
      </c>
      <c r="F8" s="47" t="inlineStr">
        <is>
          <t>무료</t>
        </is>
      </c>
    </row>
    <row r="9" ht="15" customHeight="1" s="38">
      <c r="A9" s="45" t="inlineStr">
        <is>
          <t>9/22</t>
        </is>
      </c>
      <c r="B9" s="41" t="inlineStr">
        <is>
          <t>조지아 국립박물관</t>
        </is>
      </c>
      <c r="C9" s="54" t="n">
        <v>15</v>
      </c>
      <c r="D9" s="45" t="inlineStr">
        <is>
          <t>GEL</t>
        </is>
      </c>
      <c r="E9" s="48">
        <f>ROUND(C9*환율!$B$4,0)</f>
        <v/>
      </c>
      <c r="F9" s="47" t="inlineStr">
        <is>
          <t>월요일 휴관 — 화요일이라 엽니다</t>
        </is>
      </c>
    </row>
    <row r="10" ht="15" customHeight="1" s="38">
      <c r="A10" s="45" t="inlineStr">
        <is>
          <t>9/26</t>
        </is>
      </c>
      <c r="B10" s="41" t="inlineStr">
        <is>
          <t>우쉬굴리 차즈하시 입구</t>
        </is>
      </c>
      <c r="C10" s="54" t="n">
        <v>2</v>
      </c>
      <c r="D10" s="45" t="inlineStr">
        <is>
          <t>GEL</t>
        </is>
      </c>
      <c r="E10" s="48">
        <f>ROUND(C10*환율!$B$4,0)</f>
        <v/>
      </c>
      <c r="F10" s="47" t="inlineStr">
        <is>
          <t>마을 입구에서 받는다는 기록(caucasus-trekking, 2026년 1월) · 현장 확인</t>
        </is>
      </c>
    </row>
    <row r="11" ht="15" customHeight="1" s="38">
      <c r="A11" s="45" t="inlineStr">
        <is>
          <t>9/26</t>
        </is>
      </c>
      <c r="B11" s="41" t="inlineStr">
        <is>
          <t>라마리아 교회 (우쉬굴리)</t>
        </is>
      </c>
      <c r="C11" s="54" t="n">
        <v>0</v>
      </c>
      <c r="D11" s="45" t="inlineStr">
        <is>
          <t>GEL</t>
        </is>
      </c>
      <c r="E11" s="48">
        <f>ROUND(C11*환율!$B$4,0)</f>
        <v/>
      </c>
      <c r="F11" s="47" t="inlineStr">
        <is>
          <t>무료 · 마을 위 언덕</t>
        </is>
      </c>
    </row>
    <row r="12" ht="15" customHeight="1" s="38">
      <c r="A12" s="45" t="inlineStr">
        <is>
          <t>9/27</t>
        </is>
      </c>
      <c r="B12" s="41" t="inlineStr">
        <is>
          <t>게르게티 삼위일체 교회</t>
        </is>
      </c>
      <c r="C12" s="54" t="n">
        <v>0</v>
      </c>
      <c r="D12" s="45" t="inlineStr">
        <is>
          <t>GEL</t>
        </is>
      </c>
      <c r="E12" s="48">
        <f>ROUND(C12*환율!$B$4,0)</f>
        <v/>
      </c>
      <c r="F12" s="47" t="inlineStr">
        <is>
          <t>무료 · 어깨·무릎을 가려야 함</t>
        </is>
      </c>
    </row>
    <row r="13" ht="15" customHeight="1" s="38">
      <c r="A13" s="45" t="inlineStr">
        <is>
          <t>9/29</t>
        </is>
      </c>
      <c r="B13" s="41" t="inlineStr">
        <is>
          <t>사나힌 수도원</t>
        </is>
      </c>
      <c r="C13" s="54" t="n">
        <v>0</v>
      </c>
      <c r="D13" s="45" t="inlineStr">
        <is>
          <t>AMD</t>
        </is>
      </c>
      <c r="E13" s="48">
        <f>ROUND(C13*환율!$B$5,0)</f>
        <v/>
      </c>
      <c r="F13" s="47" t="inlineStr">
        <is>
          <t>무료 · 유네스코 세계유산</t>
        </is>
      </c>
    </row>
    <row r="14" ht="15" customHeight="1" s="38">
      <c r="A14" s="45" t="inlineStr">
        <is>
          <t>9/29</t>
        </is>
      </c>
      <c r="B14" s="41" t="inlineStr">
        <is>
          <t>하흐파트 수도원</t>
        </is>
      </c>
      <c r="C14" s="54" t="n">
        <v>0</v>
      </c>
      <c r="D14" s="45" t="inlineStr">
        <is>
          <t>AMD</t>
        </is>
      </c>
      <c r="E14" s="48">
        <f>ROUND(C14*환율!$B$5,0)</f>
        <v/>
      </c>
      <c r="F14" s="47" t="inlineStr">
        <is>
          <t>무료 · 유네스코 세계유산</t>
        </is>
      </c>
    </row>
    <row r="15" ht="15" customHeight="1" s="38">
      <c r="A15" s="45" t="inlineStr">
        <is>
          <t>9/29</t>
        </is>
      </c>
      <c r="B15" s="41" t="inlineStr">
        <is>
          <t>사나힌 다리</t>
        </is>
      </c>
      <c r="C15" s="54" t="n">
        <v>0</v>
      </c>
      <c r="D15" s="45" t="inlineStr">
        <is>
          <t>AMD</t>
        </is>
      </c>
      <c r="E15" s="48">
        <f>ROUND(C15*환율!$B$5,0)</f>
        <v/>
      </c>
      <c r="F15" s="47" t="inlineStr">
        <is>
          <t>무료 · 12세기 아치교, 알라베르디 시내</t>
        </is>
      </c>
    </row>
    <row r="16" ht="15" customHeight="1" s="38">
      <c r="A16" s="45" t="inlineStr">
        <is>
          <t>9/30</t>
        </is>
      </c>
      <c r="B16" s="41" t="inlineStr">
        <is>
          <t>즈바르트노츠 유적</t>
        </is>
      </c>
      <c r="C16" s="54" t="n">
        <v>1500</v>
      </c>
      <c r="D16" s="45" t="inlineStr">
        <is>
          <t>AMD</t>
        </is>
      </c>
      <c r="E16" s="48">
        <f>ROUND(C16*환율!$B$5,0)</f>
        <v/>
      </c>
      <c r="F16" s="47" t="inlineStr">
        <is>
          <t>공식 안내 매일 10:00~18:00(일 16:00) · 부속 박물관 포함</t>
        </is>
      </c>
    </row>
    <row r="17" ht="15" customHeight="1" s="38">
      <c r="A17" s="45" t="inlineStr">
        <is>
          <t>9/30</t>
        </is>
      </c>
      <c r="B17" s="41" t="inlineStr">
        <is>
          <t>에치미아진 대성당</t>
        </is>
      </c>
      <c r="C17" s="54" t="n">
        <v>0</v>
      </c>
      <c r="D17" s="45" t="inlineStr">
        <is>
          <t>AMD</t>
        </is>
      </c>
      <c r="E17" s="48">
        <f>ROUND(C17*환율!$B$5,0)</f>
        <v/>
      </c>
      <c r="F17" s="47" t="inlineStr">
        <is>
          <t>무료 · 2024년 9월 29일 재개장</t>
        </is>
      </c>
    </row>
    <row r="18" ht="15" customHeight="1" s="38">
      <c r="A18" s="45" t="inlineStr">
        <is>
          <t>9/30</t>
        </is>
      </c>
      <c r="B18" s="41" t="inlineStr">
        <is>
          <t>성 흐립시메 교회 · 성 가야네 교회</t>
        </is>
      </c>
      <c r="C18" s="54" t="n">
        <v>0</v>
      </c>
      <c r="D18" s="45" t="inlineStr">
        <is>
          <t>AMD</t>
        </is>
      </c>
      <c r="E18" s="48">
        <f>ROUND(C18*환율!$B$5,0)</f>
        <v/>
      </c>
      <c r="F18" s="47" t="inlineStr">
        <is>
          <t>무료</t>
        </is>
      </c>
    </row>
    <row r="19" ht="15" customHeight="1" s="38">
      <c r="A19" s="45" t="inlineStr">
        <is>
          <t>10/1</t>
        </is>
      </c>
      <c r="B19" s="41" t="inlineStr">
        <is>
          <t>게하르트 수도원</t>
        </is>
      </c>
      <c r="C19" s="54" t="n">
        <v>0</v>
      </c>
      <c r="D19" s="45" t="inlineStr">
        <is>
          <t>AMD</t>
        </is>
      </c>
      <c r="E19" s="48">
        <f>ROUND(C19*환율!$B$5,0)</f>
        <v/>
      </c>
      <c r="F19" s="47" t="inlineStr">
        <is>
          <t>무료 · 유네스코 세계유산</t>
        </is>
      </c>
    </row>
    <row r="20" ht="15" customHeight="1" s="38">
      <c r="A20" s="45" t="inlineStr">
        <is>
          <t>10/1</t>
        </is>
      </c>
      <c r="B20" s="41" t="inlineStr">
        <is>
          <t>가르니 신전</t>
        </is>
      </c>
      <c r="C20" s="54" t="n">
        <v>1800</v>
      </c>
      <c r="D20" s="45" t="inlineStr">
        <is>
          <t>AMD</t>
        </is>
      </c>
      <c r="E20" s="48">
        <f>ROUND(C20*환율!$B$5,0)</f>
        <v/>
      </c>
      <c r="F20" s="47" t="inlineStr">
        <is>
          <t>돌의 교향곡(협곡)은 무료</t>
        </is>
      </c>
    </row>
    <row r="21" ht="15" customHeight="1" s="38">
      <c r="A21" s="45" t="inlineStr">
        <is>
          <t>10/2</t>
        </is>
      </c>
      <c r="B21" s="41" t="inlineStr">
        <is>
          <t>호르 비랍 수도원</t>
        </is>
      </c>
      <c r="C21" s="54" t="n">
        <v>0</v>
      </c>
      <c r="D21" s="45" t="inlineStr">
        <is>
          <t>AMD</t>
        </is>
      </c>
      <c r="E21" s="48">
        <f>ROUND(C21*환율!$B$5,0)</f>
        <v/>
      </c>
      <c r="F21" s="47" t="inlineStr">
        <is>
          <t>무료</t>
        </is>
      </c>
    </row>
    <row r="22" ht="15" customHeight="1" s="38">
      <c r="A22" s="45" t="inlineStr">
        <is>
          <t>10/2</t>
        </is>
      </c>
      <c r="B22" s="41" t="inlineStr">
        <is>
          <t>대학살 추모관 박물관</t>
        </is>
      </c>
      <c r="C22" s="54" t="n">
        <v>0</v>
      </c>
      <c r="D22" s="45" t="inlineStr">
        <is>
          <t>AMD</t>
        </is>
      </c>
      <c r="E22" s="48">
        <f>ROUND(C22*환율!$B$5,0)</f>
        <v/>
      </c>
      <c r="F22" s="47" t="inlineStr">
        <is>
          <t>무료 · 3~12월 10:00~17:00, 16:30 입장 마감 · 월 휴관</t>
        </is>
      </c>
    </row>
    <row r="23" ht="15" customHeight="1" s="38">
      <c r="A23" s="45" t="inlineStr">
        <is>
          <t>10/2</t>
        </is>
      </c>
      <c r="B23" s="41" t="inlineStr">
        <is>
          <t>세르게이 파라자노프 박물관</t>
        </is>
      </c>
      <c r="C23" s="54" t="n">
        <v>1000</v>
      </c>
      <c r="D23" s="45" t="inlineStr">
        <is>
          <t>AMD</t>
        </is>
      </c>
      <c r="E23" s="48">
        <f>ROUND(C23*환율!$B$5,0)</f>
        <v/>
      </c>
      <c r="F23" s="47" t="inlineStr">
        <is>
          <t>매일 10:30~17:00</t>
        </is>
      </c>
    </row>
    <row r="24" ht="15" customHeight="1" s="38">
      <c r="A24" s="45" t="inlineStr">
        <is>
          <t>10/3</t>
        </is>
      </c>
      <c r="B24" s="41" t="inlineStr">
        <is>
          <t>아크로폴리스</t>
        </is>
      </c>
      <c r="C24" s="54" t="n">
        <v>30</v>
      </c>
      <c r="D24" s="45" t="inlineStr">
        <is>
          <t>EUR</t>
        </is>
      </c>
      <c r="E24" s="48">
        <f>ROUND(C24*환율!$B$6,0)</f>
        <v/>
      </c>
      <c r="F24" s="47" t="inlineStr">
        <is>
          <t>hhticket.gr 공식 정가 30유로(연중 동일) · 타임드 엔트리 필수 · 60일 전 오픈, 성수기 5~7일 전 매진</t>
        </is>
      </c>
    </row>
    <row r="25" ht="15" customHeight="1" s="38">
      <c r="A25" s="45" t="inlineStr">
        <is>
          <t>10/3</t>
        </is>
      </c>
      <c r="B25" s="41" t="inlineStr">
        <is>
          <t>고대 아고라 · 헤파이스토스 신전</t>
        </is>
      </c>
      <c r="C25" s="54" t="n">
        <v>12</v>
      </c>
      <c r="D25" s="45" t="inlineStr">
        <is>
          <t>EUR</t>
        </is>
      </c>
      <c r="E25" s="48">
        <f>ROUND(C25*환율!$B$6,0)</f>
        <v/>
      </c>
      <c r="F25" s="47" t="inlineStr">
        <is>
          <t>통합권 폐지로 별도 구매 필요 — 현장 확인</t>
        </is>
      </c>
    </row>
    <row r="26" ht="15" customHeight="1" s="38">
      <c r="A26" s="45" t="inlineStr">
        <is>
          <t>10/3</t>
        </is>
      </c>
      <c r="B26" s="41" t="inlineStr">
        <is>
          <t>아크로폴리스 박물관</t>
        </is>
      </c>
      <c r="C26" s="54" t="n">
        <v>20</v>
      </c>
      <c r="D26" s="45" t="inlineStr">
        <is>
          <t>EUR</t>
        </is>
      </c>
      <c r="E26" s="48">
        <f>ROUND(C26*환율!$B$6,0)</f>
        <v/>
      </c>
      <c r="F26" s="47" t="inlineStr">
        <is>
          <t>실제 확인가 (별도 티켓)</t>
        </is>
      </c>
    </row>
    <row r="27" ht="15" customHeight="1" s="38">
      <c r="A27" s="45" t="inlineStr">
        <is>
          <t>10/4</t>
        </is>
      </c>
      <c r="B27" s="41" t="inlineStr">
        <is>
          <t>루브르 아부다비</t>
        </is>
      </c>
      <c r="C27" s="54" t="n">
        <v>63</v>
      </c>
      <c r="D27" s="45" t="inlineStr">
        <is>
          <t>AED</t>
        </is>
      </c>
      <c r="E27" s="48">
        <f>ROUND(C27*환율!$B$7,0)</f>
        <v/>
      </c>
      <c r="F27" s="47" t="inlineStr">
        <is>
          <t>10/4 일요일 10:00~20:30, 최종 입장 20:00 · 월요일 휴관 · 돔은 자정까지</t>
        </is>
      </c>
    </row>
    <row r="28" ht="15" customHeight="1" s="38">
      <c r="A28" s="45" t="inlineStr">
        <is>
          <t>10/4</t>
        </is>
      </c>
      <c r="B28" s="41" t="inlineStr">
        <is>
          <t>셰이크 자이드 그랜드 모스크</t>
        </is>
      </c>
      <c r="C28" s="54" t="n">
        <v>0</v>
      </c>
      <c r="D28" s="45" t="inlineStr">
        <is>
          <t>AED</t>
        </is>
      </c>
      <c r="E28" s="48">
        <f>ROUND(C28*환율!$B$7,0)</f>
        <v/>
      </c>
      <c r="F28" s="47" t="inlineStr">
        <is>
          <t>무료</t>
        </is>
      </c>
    </row>
    <row r="29">
      <c r="A29" s="57" t="n"/>
      <c r="B29" s="56" t="inlineStr">
        <is>
          <t>입장료 합계</t>
        </is>
      </c>
      <c r="C29" s="57" t="n"/>
      <c r="D29" s="57" t="n"/>
      <c r="E29" s="58">
        <f>SUM(E4:E28)</f>
        <v/>
      </c>
      <c r="F29" s="57" t="n"/>
    </row>
    <row r="30"/>
    <row r="31">
      <c r="A31" s="49" t="inlineStr">
        <is>
          <t>무료인 곳도 0으로 적어 빠뜨린 데가 없는지 볼 수 있게 했습니다. 하흐파트·사나힌·게하르트는 유네스코 세계유산인데 입장료가 없습니다(기부함만 있습니다).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7" min="1" max="1"/>
    <col width="6" customWidth="1" style="37" min="2" max="2"/>
    <col width="30" customWidth="1" style="37" min="3" max="3"/>
    <col width="13" customWidth="1" style="37" min="4" max="4"/>
    <col width="11" customWidth="1" style="37" min="5" max="6"/>
    <col width="9" customWidth="1" style="37" min="7" max="7"/>
    <col width="12" customWidth="1" style="37" min="8" max="10"/>
    <col width="13" customWidth="1" style="37" min="11" max="11"/>
  </cols>
  <sheetData>
    <row r="1" ht="19.5" customHeight="1" s="38">
      <c r="A1" s="39" t="inlineStr">
        <is>
          <t>일자별 예산 (1인 기준, 원)</t>
        </is>
      </c>
    </row>
    <row r="2" ht="15" customHeight="1" s="38">
      <c r="A2" s="49" t="inlineStr">
        <is>
          <t>1인 단독 여행 기준. 택시·기사 비용은 나눌 사람이 없어 전액 부담으로 계산했습니다. 9/19 상하이 1박은 항공권과 별개인 실제 지출이라 일정에 포함했습니다.</t>
        </is>
      </c>
    </row>
    <row r="4" ht="15" customHeight="1" s="38">
      <c r="A4" s="59" t="inlineStr">
        <is>
          <t>날짜</t>
        </is>
      </c>
      <c r="B4" s="59" t="inlineStr">
        <is>
          <t>요일</t>
        </is>
      </c>
      <c r="C4" s="59" t="inlineStr">
        <is>
          <t>숙박지 / 주요 일정</t>
        </is>
      </c>
      <c r="D4" s="59" t="inlineStr">
        <is>
          <t>관광·입장비</t>
        </is>
      </c>
      <c r="E4" s="59" t="inlineStr">
        <is>
          <t>식비</t>
        </is>
      </c>
      <c r="F4" s="59" t="inlineStr">
        <is>
          <t>숙박비</t>
        </is>
      </c>
      <c r="G4" s="59" t="inlineStr">
        <is>
          <t>카페</t>
        </is>
      </c>
      <c r="H4" s="59" t="inlineStr">
        <is>
          <t>시외교통</t>
        </is>
      </c>
      <c r="I4" s="59" t="inlineStr">
        <is>
          <t>시내교통</t>
        </is>
      </c>
      <c r="J4" s="59" t="inlineStr">
        <is>
          <t>일계</t>
        </is>
      </c>
      <c r="K4" s="59" t="inlineStr">
        <is>
          <t>누계</t>
        </is>
      </c>
    </row>
    <row r="5" ht="15" customHeight="1" s="38">
      <c r="A5" s="60" t="inlineStr">
        <is>
          <t>9/19</t>
        </is>
      </c>
      <c r="B5" s="61" t="inlineStr">
        <is>
          <t>토</t>
        </is>
      </c>
      <c r="C5" s="61" t="inlineStr">
        <is>
          <t>상하이 — 예원·성황묘·와이탄 야경</t>
        </is>
      </c>
      <c r="D5" s="54">
        <f>SUMIF(입장료!$A$4:$A$28,A5,입장료!$E$4:$E$28)</f>
        <v/>
      </c>
      <c r="E5" s="54" t="n">
        <v>25000</v>
      </c>
      <c r="F5" s="62" t="n">
        <v>28907</v>
      </c>
      <c r="G5" s="54" t="n">
        <v>6000</v>
      </c>
      <c r="H5" s="54">
        <f>SUMIFS(교통상세!$G$5:$G$48,교통상세!$A$5:$A$48,A5,교통상세!$D$5:$D$48,"시외")</f>
        <v/>
      </c>
      <c r="I5" s="54">
        <f>SUMIFS(교통상세!$G$5:$G$48,교통상세!$A$5:$A$48,A5,교통상세!$D$5:$D$48,"시내")</f>
        <v/>
      </c>
      <c r="J5" s="48">
        <f>SUM(D5:I5)</f>
        <v/>
      </c>
      <c r="K5" s="62">
        <f>J5</f>
        <v/>
      </c>
    </row>
    <row r="6" ht="15" customHeight="1" s="38">
      <c r="A6" s="63" t="inlineStr">
        <is>
          <t>9/20</t>
        </is>
      </c>
      <c r="B6" s="64" t="inlineStr">
        <is>
          <t>일</t>
        </is>
      </c>
      <c r="C6" s="64" t="inlineStr">
        <is>
          <t>상하이 오전 → 트빌리시 19:00 도착</t>
        </is>
      </c>
      <c r="D6" s="54">
        <f>SUMIF(입장료!$A$4:$A$28,A6,입장료!$E$4:$E$28)</f>
        <v/>
      </c>
      <c r="E6" s="54" t="n">
        <v>20000</v>
      </c>
      <c r="F6" s="62" t="n">
        <v>15689</v>
      </c>
      <c r="G6" s="54" t="n">
        <v>0</v>
      </c>
      <c r="H6" s="54">
        <f>SUMIFS(교통상세!$G$5:$G$48,교통상세!$A$5:$A$48,A6,교통상세!$D$5:$D$48,"시외")</f>
        <v/>
      </c>
      <c r="I6" s="54">
        <f>SUMIFS(교통상세!$G$5:$G$48,교통상세!$A$5:$A$48,A6,교통상세!$D$5:$D$48,"시내")</f>
        <v/>
      </c>
      <c r="J6" s="48">
        <f>SUM(D6:I6)</f>
        <v/>
      </c>
      <c r="K6" s="62">
        <f>K5+J6</f>
        <v/>
      </c>
    </row>
    <row r="7" ht="15" customHeight="1" s="38">
      <c r="A7" s="63" t="inlineStr">
        <is>
          <t>9/21</t>
        </is>
      </c>
      <c r="B7" s="64" t="inlineStr">
        <is>
          <t>월</t>
        </is>
      </c>
      <c r="C7" s="64" t="inlineStr">
        <is>
          <t>트빌리시 — 구시가·나리칼라·유황온천 (월요일 휴관 회피)</t>
        </is>
      </c>
      <c r="D7" s="54">
        <f>SUMIF(입장료!$A$4:$A$28,A7,입장료!$E$4:$E$28)</f>
        <v/>
      </c>
      <c r="E7" s="54" t="n">
        <v>25000</v>
      </c>
      <c r="F7" s="62" t="n">
        <v>15689</v>
      </c>
      <c r="G7" s="54" t="n">
        <v>6000</v>
      </c>
      <c r="H7" s="54">
        <f>SUMIFS(교통상세!$G$5:$G$48,교통상세!$A$5:$A$48,A7,교통상세!$D$5:$D$48,"시외")</f>
        <v/>
      </c>
      <c r="I7" s="54">
        <f>SUMIFS(교통상세!$G$5:$G$48,교통상세!$A$5:$A$48,A7,교통상세!$D$5:$D$48,"시내")</f>
        <v/>
      </c>
      <c r="J7" s="48">
        <f>SUM(D7:I7)</f>
        <v/>
      </c>
      <c r="K7" s="62">
        <f>K6+J7</f>
        <v/>
      </c>
    </row>
    <row r="8" ht="15" customHeight="1" s="38">
      <c r="A8" s="63" t="inlineStr">
        <is>
          <t>9/22</t>
        </is>
      </c>
      <c r="B8" s="64" t="inlineStr">
        <is>
          <t>화</t>
        </is>
      </c>
      <c r="C8" s="64" t="inlineStr">
        <is>
          <t>트빌리시 — 므츠헤타 반나절 · 밤 야간버스로 주그디디</t>
        </is>
      </c>
      <c r="D8" s="54">
        <f>SUMIF(입장료!$A$4:$A$28,A8,입장료!$E$4:$E$28)</f>
        <v/>
      </c>
      <c r="E8" s="54" t="n">
        <v>25000</v>
      </c>
      <c r="F8" s="62" t="n">
        <v>0</v>
      </c>
      <c r="G8" s="54" t="n">
        <v>6000</v>
      </c>
      <c r="H8" s="54">
        <f>SUMIFS(교통상세!$G$5:$G$48,교통상세!$A$5:$A$48,A8,교통상세!$D$5:$D$48,"시외")</f>
        <v/>
      </c>
      <c r="I8" s="54">
        <f>SUMIFS(교통상세!$G$5:$G$48,교통상세!$A$5:$A$48,A8,교통상세!$D$5:$D$48,"시내")</f>
        <v/>
      </c>
      <c r="J8" s="48">
        <f>SUM(D8:I8)</f>
        <v/>
      </c>
      <c r="K8" s="62">
        <f>K7+J8</f>
        <v/>
      </c>
    </row>
    <row r="9" ht="15" customHeight="1" s="38">
      <c r="A9" s="63" t="inlineStr">
        <is>
          <t>9/23</t>
        </is>
      </c>
      <c r="B9" s="64" t="inlineStr">
        <is>
          <t>수</t>
        </is>
      </c>
      <c r="C9" s="64" t="inlineStr">
        <is>
          <t>주그디디 → 메스티아 → 자베시 (트레킹 1일차)</t>
        </is>
      </c>
      <c r="D9" s="54">
        <f>SUMIF(입장료!$A$4:$A$28,A9,입장료!$E$4:$E$28)</f>
        <v/>
      </c>
      <c r="E9" s="54" t="n">
        <v>20000</v>
      </c>
      <c r="F9" s="54" t="n">
        <v>45985</v>
      </c>
      <c r="G9" s="54" t="n">
        <v>5000</v>
      </c>
      <c r="H9" s="54">
        <f>SUMIFS(교통상세!$G$5:$G$48,교통상세!$A$5:$A$48,A9,교통상세!$D$5:$D$48,"시외")</f>
        <v/>
      </c>
      <c r="I9" s="54">
        <f>SUMIFS(교통상세!$G$5:$G$48,교통상세!$A$5:$A$48,A9,교통상세!$D$5:$D$48,"시내")</f>
        <v/>
      </c>
      <c r="J9" s="48">
        <f>SUM(D9:I9)</f>
        <v/>
      </c>
      <c r="K9" s="62">
        <f>K8+J9</f>
        <v/>
      </c>
    </row>
    <row r="10" ht="15" customHeight="1" s="38">
      <c r="A10" s="63" t="inlineStr">
        <is>
          <t>9/24</t>
        </is>
      </c>
      <c r="B10" s="64" t="inlineStr">
        <is>
          <t>목</t>
        </is>
      </c>
      <c r="C10" s="64" t="inlineStr">
        <is>
          <t>자베시 → 아디시 (트레킹 2일차)</t>
        </is>
      </c>
      <c r="D10" s="54">
        <f>SUMIF(입장료!$A$4:$A$28,A10,입장료!$E$4:$E$28)</f>
        <v/>
      </c>
      <c r="E10" s="54" t="n">
        <v>15000</v>
      </c>
      <c r="F10" s="54" t="n">
        <v>45985</v>
      </c>
      <c r="G10" s="54" t="n">
        <v>0</v>
      </c>
      <c r="H10" s="54">
        <f>SUMIFS(교통상세!$G$5:$G$48,교통상세!$A$5:$A$48,A10,교통상세!$D$5:$D$48,"시외")</f>
        <v/>
      </c>
      <c r="I10" s="54">
        <f>SUMIFS(교통상세!$G$5:$G$48,교통상세!$A$5:$A$48,A10,교통상세!$D$5:$D$48,"시내")</f>
        <v/>
      </c>
      <c r="J10" s="48">
        <f>SUM(D10:I10)</f>
        <v/>
      </c>
      <c r="K10" s="62">
        <f>K9+J10</f>
        <v/>
      </c>
    </row>
    <row r="11" ht="15" customHeight="1" s="38">
      <c r="A11" s="63" t="inlineStr">
        <is>
          <t>9/25</t>
        </is>
      </c>
      <c r="B11" s="64" t="inlineStr">
        <is>
          <t>금</t>
        </is>
      </c>
      <c r="C11" s="64" t="inlineStr">
        <is>
          <t>아디시 → 치훈데리 고개 → 이프랄리 (3일차 · 말로 강 건너기)</t>
        </is>
      </c>
      <c r="D11" s="54">
        <f>SUMIF(입장료!$A$4:$A$28,A11,입장료!$E$4:$E$28)</f>
        <v/>
      </c>
      <c r="E11" s="54" t="n">
        <v>15000</v>
      </c>
      <c r="F11" s="54" t="n">
        <v>45985</v>
      </c>
      <c r="G11" s="54" t="n">
        <v>0</v>
      </c>
      <c r="H11" s="54">
        <f>SUMIFS(교통상세!$G$5:$G$48,교통상세!$A$5:$A$48,A11,교통상세!$D$5:$D$48,"시외")</f>
        <v/>
      </c>
      <c r="I11" s="54">
        <f>SUMIFS(교통상세!$G$5:$G$48,교통상세!$A$5:$A$48,A11,교통상세!$D$5:$D$48,"시내")</f>
        <v/>
      </c>
      <c r="J11" s="48">
        <f>SUM(D11:I11)</f>
        <v/>
      </c>
      <c r="K11" s="62">
        <f>K10+J11</f>
        <v/>
      </c>
    </row>
    <row r="12" ht="15" customHeight="1" s="38">
      <c r="A12" s="65" t="inlineStr">
        <is>
          <t>9/26</t>
        </is>
      </c>
      <c r="B12" s="66" t="inlineStr">
        <is>
          <t>토</t>
        </is>
      </c>
      <c r="C12" s="66" t="inlineStr">
        <is>
          <t>이프랄리 → 우쉬굴리 (종주 끝) → 메스티아 → 주그디디 · 밤 야간버스로 트빌리시</t>
        </is>
      </c>
      <c r="D12" s="54">
        <f>SUMIF(입장료!$A$4:$A$28,A12,입장료!$E$4:$E$28)</f>
        <v/>
      </c>
      <c r="E12" s="54" t="n">
        <v>25000</v>
      </c>
      <c r="F12" s="54" t="n">
        <v>0</v>
      </c>
      <c r="G12" s="54" t="n">
        <v>5000</v>
      </c>
      <c r="H12" s="54">
        <f>SUMIFS(교통상세!$G$5:$G$48,교통상세!$A$5:$A$48,A12,교통상세!$D$5:$D$48,"시외")</f>
        <v/>
      </c>
      <c r="I12" s="54">
        <f>SUMIFS(교통상세!$G$5:$G$48,교통상세!$A$5:$A$48,A12,교통상세!$D$5:$D$48,"시내")</f>
        <v/>
      </c>
      <c r="J12" s="48">
        <f>SUM(D12:I12)</f>
        <v/>
      </c>
      <c r="K12" s="62">
        <f>K11+J12</f>
        <v/>
      </c>
    </row>
    <row r="13" ht="15" customHeight="1" s="38">
      <c r="A13" s="65" t="inlineStr">
        <is>
          <t>9/27</t>
        </is>
      </c>
      <c r="B13" s="66" t="inlineStr">
        <is>
          <t>일</t>
        </is>
      </c>
      <c r="C13" s="66" t="inlineStr">
        <is>
          <t>카즈베기 — 군사도로 · 게르게티 1차 (1박)</t>
        </is>
      </c>
      <c r="D13" s="54">
        <f>SUMIF(입장료!$A$4:$A$28,A13,입장료!$E$4:$E$28)</f>
        <v/>
      </c>
      <c r="E13" s="54" t="n">
        <v>25000</v>
      </c>
      <c r="F13" s="54" t="n">
        <v>28000</v>
      </c>
      <c r="G13" s="54" t="n">
        <v>5000</v>
      </c>
      <c r="H13" s="54">
        <f>SUMIFS(교통상세!$G$5:$G$48,교통상세!$A$5:$A$48,A13,교통상세!$D$5:$D$48,"시외")</f>
        <v/>
      </c>
      <c r="I13" s="54">
        <f>SUMIFS(교통상세!$G$5:$G$48,교통상세!$A$5:$A$48,A13,교통상세!$D$5:$D$48,"시내")</f>
        <v/>
      </c>
      <c r="J13" s="48">
        <f>SUM(D13:I13)</f>
        <v/>
      </c>
      <c r="K13" s="62">
        <f>K12+J13</f>
        <v/>
      </c>
    </row>
    <row r="14" ht="15" customHeight="1" s="38">
      <c r="A14" s="65" t="inlineStr">
        <is>
          <t>9/28</t>
        </is>
      </c>
      <c r="B14" s="66" t="inlineStr">
        <is>
          <t>월</t>
        </is>
      </c>
      <c r="C14" s="66" t="inlineStr">
        <is>
          <t>카즈베기 오전 예비(게르게티 2차·마지막) → 트빌리시 복귀</t>
        </is>
      </c>
      <c r="D14" s="54">
        <f>SUMIF(입장료!$A$4:$A$28,A14,입장료!$E$4:$E$28)</f>
        <v/>
      </c>
      <c r="E14" s="54" t="n">
        <v>25000</v>
      </c>
      <c r="F14" s="54" t="n">
        <v>15689</v>
      </c>
      <c r="G14" s="54" t="n">
        <v>5000</v>
      </c>
      <c r="H14" s="54">
        <f>SUMIFS(교통상세!$G$5:$G$48,교통상세!$A$5:$A$48,A14,교통상세!$D$5:$D$48,"시외")</f>
        <v/>
      </c>
      <c r="I14" s="54">
        <f>SUMIFS(교통상세!$G$5:$G$48,교통상세!$A$5:$A$48,A14,교통상세!$D$5:$D$48,"시내")</f>
        <v/>
      </c>
      <c r="J14" s="48">
        <f>SUM(D14:I14)</f>
        <v/>
      </c>
      <c r="K14" s="62">
        <f>K13+J14</f>
        <v/>
      </c>
    </row>
    <row r="15" ht="15" customHeight="1" s="38">
      <c r="A15" s="65" t="inlineStr">
        <is>
          <t>9/29</t>
        </is>
      </c>
      <c r="B15" s="66" t="inlineStr">
        <is>
          <t>화</t>
        </is>
      </c>
      <c r="C15" s="66" t="inlineStr">
        <is>
          <t>국경 → 알라베르디 · 사나힌·하흐파트 (택시 한 대) · 사나힌 다리</t>
        </is>
      </c>
      <c r="D15" s="54">
        <f>SUMIF(입장료!$A$4:$A$28,A15,입장료!$E$4:$E$28)</f>
        <v/>
      </c>
      <c r="E15" s="54" t="n">
        <v>25000</v>
      </c>
      <c r="F15" s="54" t="n">
        <v>25000</v>
      </c>
      <c r="G15" s="54" t="n">
        <v>5000</v>
      </c>
      <c r="H15" s="54">
        <f>SUMIFS(교통상세!$G$5:$G$48,교통상세!$A$5:$A$48,A15,교통상세!$D$5:$D$48,"시외")</f>
        <v/>
      </c>
      <c r="I15" s="54">
        <f>SUMIFS(교통상세!$G$5:$G$48,교통상세!$A$5:$A$48,A15,교통상세!$D$5:$D$48,"시내")</f>
        <v/>
      </c>
      <c r="J15" s="48">
        <f>SUM(D15:I15)</f>
        <v/>
      </c>
      <c r="K15" s="62">
        <f>K14+J15</f>
        <v/>
      </c>
    </row>
    <row r="16" ht="15" customHeight="1" s="38">
      <c r="A16" s="65" t="inlineStr">
        <is>
          <t>9/30</t>
        </is>
      </c>
      <c r="B16" s="66" t="inlineStr">
        <is>
          <t>수</t>
        </is>
      </c>
      <c r="C16" s="66" t="inlineStr">
        <is>
          <t>알라베르디 → 예레반 · 즈바르트노츠·에치미아진 (3박 시작)</t>
        </is>
      </c>
      <c r="D16" s="54">
        <f>SUMIF(입장료!$A$4:$A$28,A16,입장료!$E$4:$E$28)</f>
        <v/>
      </c>
      <c r="E16" s="54" t="n">
        <v>28000</v>
      </c>
      <c r="F16" s="54" t="n">
        <v>20000</v>
      </c>
      <c r="G16" s="54" t="n">
        <v>6000</v>
      </c>
      <c r="H16" s="54">
        <f>SUMIFS(교통상세!$G$5:$G$48,교통상세!$A$5:$A$48,A16,교통상세!$D$5:$D$48,"시외")</f>
        <v/>
      </c>
      <c r="I16" s="54">
        <f>SUMIFS(교통상세!$G$5:$G$48,교통상세!$A$5:$A$48,A16,교통상세!$D$5:$D$48,"시내")</f>
        <v/>
      </c>
      <c r="J16" s="48">
        <f>SUM(D16:I16)</f>
        <v/>
      </c>
      <c r="K16" s="62">
        <f>K15+J16</f>
        <v/>
      </c>
    </row>
    <row r="17" ht="15" customHeight="1" s="38">
      <c r="A17" s="65" t="inlineStr">
        <is>
          <t>10/1</t>
        </is>
      </c>
      <c r="B17" s="66" t="inlineStr">
        <is>
          <t>목</t>
        </is>
      </c>
      <c r="C17" s="66" t="inlineStr">
        <is>
          <t>예레반 — 게하르트 → 가르니 → 협곡 주상절리 (순서 역전)</t>
        </is>
      </c>
      <c r="D17" s="54">
        <f>SUMIF(입장료!$A$4:$A$28,A17,입장료!$E$4:$E$28)</f>
        <v/>
      </c>
      <c r="E17" s="54" t="n">
        <v>30000</v>
      </c>
      <c r="F17" s="54" t="n">
        <v>20000</v>
      </c>
      <c r="G17" s="54" t="n">
        <v>6000</v>
      </c>
      <c r="H17" s="54">
        <f>SUMIFS(교통상세!$G$5:$G$48,교통상세!$A$5:$A$48,A17,교통상세!$D$5:$D$48,"시외")</f>
        <v/>
      </c>
      <c r="I17" s="54">
        <f>SUMIFS(교통상세!$G$5:$G$48,교통상세!$A$5:$A$48,A17,교통상세!$D$5:$D$48,"시내")</f>
        <v/>
      </c>
      <c r="J17" s="48">
        <f>SUM(D17:I17)</f>
        <v/>
      </c>
      <c r="K17" s="62">
        <f>K16+J17</f>
        <v/>
      </c>
    </row>
    <row r="18" ht="15" customHeight="1" s="38">
      <c r="A18" s="65" t="inlineStr">
        <is>
          <t>10/2</t>
        </is>
      </c>
      <c r="B18" s="66" t="inlineStr">
        <is>
          <t>금</t>
        </is>
      </c>
      <c r="C18" s="66" t="inlineStr">
        <is>
          <t>호르 비랍 오전 · GUM · 추모관 · 파라자노프 (새벽 비행 전날)</t>
        </is>
      </c>
      <c r="D18" s="54">
        <f>SUMIF(입장료!$A$4:$A$28,A18,입장료!$E$4:$E$28)</f>
        <v/>
      </c>
      <c r="E18" s="54" t="n">
        <v>27000</v>
      </c>
      <c r="F18" s="54" t="n">
        <v>20000</v>
      </c>
      <c r="G18" s="54" t="n">
        <v>6000</v>
      </c>
      <c r="H18" s="54">
        <f>SUMIFS(교통상세!$G$5:$G$48,교통상세!$A$5:$A$48,A18,교통상세!$D$5:$D$48,"시외")</f>
        <v/>
      </c>
      <c r="I18" s="54">
        <f>SUMIFS(교통상세!$G$5:$G$48,교통상세!$A$5:$A$48,A18,교통상세!$D$5:$D$48,"시내")</f>
        <v/>
      </c>
      <c r="J18" s="48">
        <f>SUM(D18:I18)</f>
        <v/>
      </c>
      <c r="K18" s="62">
        <f>K17+J18</f>
        <v/>
      </c>
    </row>
    <row r="19" ht="15" customHeight="1" s="38">
      <c r="A19" s="67" t="inlineStr">
        <is>
          <t>10/3</t>
        </is>
      </c>
      <c r="B19" s="68" t="inlineStr">
        <is>
          <t>토</t>
        </is>
      </c>
      <c r="C19" s="68" t="inlineStr">
        <is>
          <t>아테네 — 종일 관광 (숙소 30유로 확정)</t>
        </is>
      </c>
      <c r="D19" s="54">
        <f>SUMIF(입장료!$A$4:$A$28,A19,입장료!$E$4:$E$28)</f>
        <v/>
      </c>
      <c r="E19" s="54" t="n">
        <v>45000</v>
      </c>
      <c r="F19" s="54" t="n">
        <v>49200</v>
      </c>
      <c r="G19" s="54" t="n">
        <v>8000</v>
      </c>
      <c r="H19" s="54">
        <f>SUMIFS(교통상세!$G$5:$G$48,교통상세!$A$5:$A$48,A19,교통상세!$D$5:$D$48,"시외")</f>
        <v/>
      </c>
      <c r="I19" s="54">
        <f>SUMIFS(교통상세!$G$5:$G$48,교통상세!$A$5:$A$48,A19,교통상세!$D$5:$D$48,"시내")</f>
        <v/>
      </c>
      <c r="J19" s="48">
        <f>SUM(D19:I19)</f>
        <v/>
      </c>
      <c r="K19" s="62">
        <f>K18+J19</f>
        <v/>
      </c>
    </row>
    <row r="20" ht="15" customHeight="1" s="38">
      <c r="A20" s="69" t="inlineStr">
        <is>
          <t>10/4</t>
        </is>
      </c>
      <c r="B20" s="70" t="inlineStr">
        <is>
          <t>일</t>
        </is>
      </c>
      <c r="C20" s="70" t="inlineStr">
        <is>
          <t>아부다비 — 루브르·그랜드 모스크 (TRYP, 숙박 항공권 포함)</t>
        </is>
      </c>
      <c r="D20" s="54">
        <f>SUMIF(입장료!$A$4:$A$28,A20,입장료!$E$4:$E$28)</f>
        <v/>
      </c>
      <c r="E20" s="54" t="n">
        <v>55000</v>
      </c>
      <c r="F20" s="54" t="n">
        <v>0</v>
      </c>
      <c r="G20" s="54" t="n">
        <v>8000</v>
      </c>
      <c r="H20" s="54">
        <f>SUMIFS(교통상세!$G$5:$G$48,교통상세!$A$5:$A$48,A20,교통상세!$D$5:$D$48,"시외")</f>
        <v/>
      </c>
      <c r="I20" s="54">
        <f>SUMIFS(교통상세!$G$5:$G$48,교통상세!$A$5:$A$48,A20,교통상세!$D$5:$D$48,"시내")</f>
        <v/>
      </c>
      <c r="J20" s="48">
        <f>SUM(D20:I20)</f>
        <v/>
      </c>
      <c r="K20" s="62">
        <f>K19+J20</f>
        <v/>
      </c>
    </row>
    <row r="21" ht="15" customHeight="1" s="38">
      <c r="A21" s="69" t="inlineStr">
        <is>
          <t>10/5</t>
        </is>
      </c>
      <c r="B21" s="70" t="inlineStr">
        <is>
          <t>월</t>
        </is>
      </c>
      <c r="C21" s="70" t="inlineStr">
        <is>
          <t>아부다비 → 인천 (08:35 출발) · 새벽 A2 버스</t>
        </is>
      </c>
      <c r="D21" s="54">
        <f>SUMIF(입장료!$A$4:$A$28,A21,입장료!$E$4:$E$28)</f>
        <v/>
      </c>
      <c r="E21" s="54" t="n">
        <v>15000</v>
      </c>
      <c r="F21" s="54" t="n">
        <v>0</v>
      </c>
      <c r="G21" s="54" t="n">
        <v>0</v>
      </c>
      <c r="H21" s="54">
        <f>SUMIFS(교통상세!$G$5:$G$48,교통상세!$A$5:$A$48,A21,교통상세!$D$5:$D$48,"시외")</f>
        <v/>
      </c>
      <c r="I21" s="54">
        <f>SUMIFS(교통상세!$G$5:$G$48,교통상세!$A$5:$A$48,A21,교통상세!$D$5:$D$48,"시내")</f>
        <v/>
      </c>
      <c r="J21" s="48">
        <f>SUM(D21:I21)</f>
        <v/>
      </c>
      <c r="K21" s="62">
        <f>K20+J21</f>
        <v/>
      </c>
    </row>
    <row r="22" ht="15" customHeight="1" s="38">
      <c r="A22" s="56" t="inlineStr">
        <is>
          <t>합계</t>
        </is>
      </c>
      <c r="B22" s="57" t="n"/>
      <c r="C22" s="57" t="n"/>
      <c r="D22" s="58">
        <f>SUM(D5:D21)</f>
        <v/>
      </c>
      <c r="E22" s="58">
        <f>SUM(E5:E21)</f>
        <v/>
      </c>
      <c r="F22" s="58">
        <f>SUM(F5:F21)</f>
        <v/>
      </c>
      <c r="G22" s="58">
        <f>SUM(G5:G21)</f>
        <v/>
      </c>
      <c r="H22" s="58">
        <f>SUM(H5:H21)</f>
        <v/>
      </c>
      <c r="I22" s="58">
        <f>SUM(I5:I21)</f>
        <v/>
      </c>
      <c r="J22" s="58">
        <f>SUM(J5:J21)</f>
        <v/>
      </c>
      <c r="K22" s="71" t="n"/>
    </row>
    <row r="23" ht="15.75" customHeight="1" s="38"/>
    <row r="24" ht="15" customHeight="1" s="38">
      <c r="A24" s="39" t="inlineStr">
        <is>
          <t>총예산 점검</t>
        </is>
      </c>
    </row>
    <row r="25" ht="15" customHeight="1" s="38">
      <c r="A25" s="41" t="inlineStr">
        <is>
          <t>현지 지출 합계</t>
        </is>
      </c>
      <c r="B25" s="48">
        <f>J22</f>
        <v/>
      </c>
    </row>
    <row r="26" ht="15" customHeight="1" s="38">
      <c r="A26" s="41" t="inlineStr">
        <is>
          <t>항공권</t>
        </is>
      </c>
      <c r="B26" s="72">
        <f>환율!B13</f>
        <v/>
      </c>
    </row>
    <row r="27" ht="15" customHeight="1" s="38">
      <c r="A27" s="73" t="inlineStr">
        <is>
          <t>소계</t>
        </is>
      </c>
      <c r="B27" s="48">
        <f>B25+B26</f>
        <v/>
      </c>
    </row>
    <row r="28" ht="15" customHeight="1" s="38">
      <c r="A28" s="41" t="inlineStr">
        <is>
          <t>총예산 (1인)</t>
        </is>
      </c>
      <c r="B28" s="72">
        <f>환율!B14</f>
        <v/>
      </c>
    </row>
    <row r="29" ht="15" customHeight="1" s="38">
      <c r="A29" s="73" t="inlineStr">
        <is>
          <t>잔여 여유분</t>
        </is>
      </c>
      <c r="B29" s="48">
        <f>B28-B27</f>
        <v/>
      </c>
    </row>
    <row r="30" ht="15" customHeight="1" s="38"/>
    <row r="31" ht="15" customHeight="1" s="38">
      <c r="A31" s="49" t="inlineStr">
        <is>
          <t>야간버스 2회로 숙박 2박이 빠졌습니다(9/22·9/26 숙박비 0원). 그 대신 스바네티 트레킹 3박(자베시·아디시·이프랄리)이 들어갔습니다.</t>
        </is>
      </c>
    </row>
    <row r="32" ht="15" customHeight="1" s="38">
      <c r="A32" s="49" t="inlineStr">
        <is>
          <t>트레킹 3박은 게스트하우스 저녁·아침 포함 85라리(45,985원) 기준입니다(2026년 1월 자료). 그래서 9/24·9/25 식비는 도시락·간식값 15,000원만 잡았습니다.</t>
        </is>
      </c>
    </row>
    <row r="33" ht="16.5" customHeight="1" s="38">
      <c r="A33" s="50" t="inlineStr">
        <is>
          <t>카즈베기 1박 · 예레반 3박 구성입니다. 카즈베기 산악 택시가 줄어든 만큼 예레반 숙박 1박(20,000원)이 늘어 거의 상쇄됩니다.</t>
        </is>
      </c>
    </row>
    <row r="34">
      <c r="A34" s="37" t="inlineStr">
        <is>
          <t>가는 야간버스가 결항해 직행 마르슈르트카로 대체하면 트빌리시 숙소 1박(15,689원)이 늘고 교통비는 25라리 줄어듭니다.</t>
        </is>
      </c>
    </row>
    <row r="35">
      <c r="A35" s="37" t="inlineStr">
        <is>
          <t>※ 여행자보험·유심·기념품은 별도로 잡으세요. 스바네티 소금과 조지아 와인이 주요 지출처입니다.</t>
        </is>
      </c>
    </row>
    <row r="36">
      <c r="A36" t="inlineStr">
        <is>
          <t>※ 아르메니아 나흘을 다시 짜면서 교통·입장료가 20,800드람(약 80,704원) 늘었습니다 — 9/29 택시 · 9/30 에치미아진·즈바르트노츠 · 10/2 호르 비랍. 아흐탈라 수도원과 아라라트 브랜디 공장은 예비비 때문에 넣지 않았습니다.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2026-08-06T16:18:53Z</dcterms:created>
  <dcterms:modified xmlns:dcterms="http://purl.org/dc/terms/" xmlns:xsi="http://www.w3.org/2001/XMLSchema-instance" xsi:type="dcterms:W3CDTF">2026-09-13T12:07:44Z</dcterms:modified>
  <cp:revision>0</cp:revision>
</cp:coreProperties>
</file>