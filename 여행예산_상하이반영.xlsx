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환율" sheetId="1" state="visible" r:id="rId1"/>
    <sheet xmlns:r="http://schemas.openxmlformats.org/officeDocument/2006/relationships" name="교통상세" sheetId="2" state="visible" r:id="rId2"/>
    <sheet xmlns:r="http://schemas.openxmlformats.org/officeDocument/2006/relationships" name="입장료" sheetId="3" state="visible" r:id="rId3"/>
    <sheet xmlns:r="http://schemas.openxmlformats.org/officeDocument/2006/relationships" name="일자별예산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3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i val="1"/>
      <color rgb="FF595959"/>
      <sz val="9"/>
    </font>
    <font>
      <name val="Arial"/>
      <charset val="1"/>
      <family val="0"/>
      <b val="1"/>
      <sz val="10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sz val="10"/>
    </font>
    <font>
      <name val="Arial"/>
      <charset val="1"/>
      <family val="0"/>
      <color rgb="FF008000"/>
      <sz val="10"/>
    </font>
  </fonts>
  <fills count="10">
    <fill>
      <patternFill/>
    </fill>
    <fill>
      <patternFill patternType="gray125"/>
    </fill>
    <fill>
      <patternFill patternType="solid">
        <fgColor rgb="FF2F4F5F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CE6EC"/>
        <bgColor rgb="FFE7F0F7"/>
      </patternFill>
    </fill>
    <fill>
      <patternFill patternType="solid">
        <fgColor rgb="FFF7EBEA"/>
        <bgColor rgb="FFF5EFE6"/>
      </patternFill>
    </fill>
    <fill>
      <patternFill patternType="solid">
        <fgColor rgb="FFEAF0F3"/>
        <bgColor rgb="FFE7F0F7"/>
      </patternFill>
    </fill>
    <fill>
      <patternFill patternType="solid">
        <fgColor rgb="FFFBF0E4"/>
        <bgColor rgb="FFF5EFE6"/>
      </patternFill>
    </fill>
    <fill>
      <patternFill patternType="solid">
        <fgColor rgb="FFE7F0F7"/>
        <bgColor rgb="FFEAF0F3"/>
      </patternFill>
    </fill>
    <fill>
      <patternFill patternType="solid">
        <fgColor rgb="FFF5EFE6"/>
        <bgColor rgb="FFFBF0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0E4"/>
      <rgbColor rgb="FFE7F0F7"/>
      <rgbColor rgb="FF660066"/>
      <rgbColor rgb="FFFF8080"/>
      <rgbColor rgb="FF0066CC"/>
      <rgbColor rgb="FFDCE6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3"/>
      <rgbColor rgb="FFF5EFE6"/>
      <rgbColor rgb="FFF7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5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7" min="1" max="1"/>
    <col width="14" customWidth="1" style="37" min="2" max="2"/>
    <col width="58" customWidth="1" style="37" min="3" max="3"/>
  </cols>
  <sheetData>
    <row r="1" ht="15.75" customHeight="1" s="38">
      <c r="A1" s="39" t="inlineStr">
        <is>
          <t>환율 및 기본 가정</t>
        </is>
      </c>
    </row>
    <row r="3" ht="15" customHeight="1" s="38">
      <c r="A3" s="40" t="inlineStr">
        <is>
          <t>항목</t>
        </is>
      </c>
      <c r="B3" s="40" t="inlineStr">
        <is>
          <t>값</t>
        </is>
      </c>
      <c r="C3" s="40" t="inlineStr">
        <is>
          <t>비고</t>
        </is>
      </c>
    </row>
    <row r="4" ht="15" customHeight="1" s="38">
      <c r="A4" s="41" t="inlineStr">
        <is>
          <t>조지아 라리 (GEL) → 원</t>
        </is>
      </c>
      <c r="B4" s="42" t="n">
        <v>541</v>
      </c>
      <c r="C4" s="43" t="inlineStr">
        <is>
          <t>2026년 8월 6일 조지아·아르메니아 중앙은행 공시 기준 (USD/KRW 1,420 교차 산출)</t>
        </is>
      </c>
    </row>
    <row r="5" ht="15" customHeight="1" s="38">
      <c r="A5" s="41" t="inlineStr">
        <is>
          <t>아르메니아 드람 (AMD) → 원</t>
        </is>
      </c>
      <c r="B5" s="44" t="n">
        <v>3.88</v>
      </c>
      <c r="C5" s="43" t="inlineStr">
        <is>
          <t>2026년 8월 6일 조지아·아르메니아 중앙은행 공시 기준 (USD/KRW 1,420 교차 산출)</t>
        </is>
      </c>
    </row>
    <row r="6" ht="15" customHeight="1" s="38">
      <c r="A6" s="41" t="inlineStr">
        <is>
          <t>유로 (EUR) → 원</t>
        </is>
      </c>
      <c r="B6" s="42" t="n">
        <v>1640</v>
      </c>
      <c r="C6" s="43" t="inlineStr">
        <is>
          <t>2026년 8월 6일 시장환율 — 아테네 구간</t>
        </is>
      </c>
    </row>
    <row r="7" ht="15" customHeight="1" s="38">
      <c r="A7" s="45" t="inlineStr">
        <is>
          <t>UAE 디르함 (AED) → 원</t>
        </is>
      </c>
      <c r="B7" s="42" t="n">
        <v>387</v>
      </c>
      <c r="C7" s="43" t="inlineStr">
        <is>
          <t>2026년 8월 6일 시장환율 (USD 페그 3.6725) — 아부다비 구간</t>
        </is>
      </c>
    </row>
    <row r="8" ht="15" customHeight="1" s="38">
      <c r="A8" s="41" t="inlineStr">
        <is>
          <t>중국 위안 (CNY) → 원</t>
        </is>
      </c>
      <c r="B8" s="42" t="n">
        <v>211</v>
      </c>
      <c r="C8" s="43" t="inlineStr">
        <is>
          <t>2026년 8월 6일 시장환율 — 상하이 경유 구간</t>
        </is>
      </c>
    </row>
    <row r="9" ht="15" customHeight="1" s="38">
      <c r="A9" s="41" t="inlineStr">
        <is>
          <t>인원</t>
        </is>
      </c>
      <c r="B9" s="46" t="n">
        <v>1</v>
      </c>
      <c r="C9" s="47" t="inlineStr">
        <is>
          <t>1인 여행 — 택시·기사 비용을 나눌 사람이 없어 전액 부담</t>
        </is>
      </c>
    </row>
    <row r="10" ht="15" customHeight="1" s="38">
      <c r="A10" s="41" t="inlineStr">
        <is>
          <t>항공권1 — 김포→상하이 + 푸동→트빌리시 (별도 발권 2편)</t>
        </is>
      </c>
      <c r="B10" s="42" t="n">
        <v>446000</v>
      </c>
      <c r="C10" s="47" t="inlineStr">
        <is>
          <t>결제 완료 — 원화 확정. 김포→상하이 + 푸동→트빌리시 2편 합산</t>
        </is>
      </c>
    </row>
    <row r="11" ht="15" customHeight="1" s="38">
      <c r="A11" s="41" t="inlineStr">
        <is>
          <t>항공권2 — 예레반→아테네 (에게안 A3 3899 · XD9TVH)</t>
        </is>
      </c>
      <c r="B11" s="42" t="n">
        <v>303900</v>
      </c>
      <c r="C11" s="47" t="inlineStr">
        <is>
          <t>결제 완료 — 원화 확정</t>
        </is>
      </c>
    </row>
    <row r="12" ht="15" customHeight="1" s="38">
      <c r="A12" s="41" t="inlineStr">
        <is>
          <t>항공권3 — 아테네→아부다비→인천 (아부다비 1박 포함)</t>
        </is>
      </c>
      <c r="B12" s="42" t="n">
        <v>656700</v>
      </c>
      <c r="C12" s="47" t="inlineStr">
        <is>
          <t>결제 완료 — 원화 확정. 환율이 바뀌어도 이 금액은 그대로</t>
        </is>
      </c>
    </row>
    <row r="13" ht="15" customHeight="1" s="38">
      <c r="A13" s="41" t="inlineStr">
        <is>
          <t>항공권 합계</t>
        </is>
      </c>
      <c r="B13" s="48">
        <f>SUM(B10:B12)</f>
        <v/>
      </c>
      <c r="C13" s="43" t="inlineStr">
        <is>
          <t>3편 모두 결제 완료. 이후 환율 변동은 현지 지출에만 영향</t>
        </is>
      </c>
    </row>
    <row r="14" ht="15" customHeight="1" s="38">
      <c r="A14" s="41" t="inlineStr">
        <is>
          <t>총예산 (1인)</t>
        </is>
      </c>
      <c r="B14" s="42" t="n">
        <v>3000000</v>
      </c>
      <c r="C14" s="47" t="inlineStr">
        <is>
          <t>사용자 제시: 300만원</t>
        </is>
      </c>
    </row>
    <row r="15" ht="15" customHeight="1" s="38"/>
    <row r="16" ht="15" customHeight="1" s="38">
      <c r="A16" s="49" t="inlineStr">
        <is>
          <t>노란 셀만 수정하세요. 나머지 시트는 이 값을 참조해 자동 계산됩니다.</t>
        </is>
      </c>
    </row>
    <row r="17" ht="15" customHeight="1" s="38">
      <c r="A17" s="50" t="inlineStr">
        <is>
          <t>환율은 현지 지출에만 적용됩니다 (항공권은 결제 완료로 원화 확정). 전 통화 2026년 8월 6일 기준 — 출발 직전에 한 번 더 갱신하세요.</t>
        </is>
      </c>
    </row>
    <row r="18" ht="15" customHeight="1" s="38">
      <c r="A18" s="49" t="inlineStr">
        <is>
          <t>여행 직전 실제 환율로 한 번 더 갱신하는 것을 권장합니다 — 환율은 매일 바뀝니다.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2" customWidth="1" style="37" min="2" max="2"/>
    <col width="24" customWidth="1" style="37" min="3" max="3"/>
    <col width="8" customWidth="1" style="37" min="4" max="4"/>
    <col width="12" customWidth="1" style="37" min="5" max="5"/>
    <col width="8" customWidth="1" style="37" min="6" max="6"/>
    <col width="12" customWidth="1" style="37" min="7" max="7"/>
    <col width="11" customWidth="1" style="37" min="8" max="8"/>
    <col width="42" customWidth="1" style="37" min="9" max="9"/>
  </cols>
  <sheetData>
    <row r="1" ht="15.75" customHeight="1" s="38">
      <c r="A1" s="39" t="inlineStr">
        <is>
          <t>구간별 교통 — 대중교통 우선</t>
        </is>
      </c>
    </row>
    <row r="2" ht="15" customHeight="1" s="38">
      <c r="A2" s="49" t="inlineStr">
        <is>
          <t>‘대중교통’ 열이 ○ 이면 마르슈르트카·버스·지하철로 갈 수 있는 구간, △ 는 부분적, ✕ 는 택시가 사실상 필수인 구간입니다. 택시 요금은 환율 시트의 인원(현재 1명)으로 나눈 1인 부담액입니다.</t>
        </is>
      </c>
    </row>
    <row r="4" ht="15" customHeight="1" s="38">
      <c r="A4" s="51" t="inlineStr">
        <is>
          <t>날짜</t>
        </is>
      </c>
      <c r="B4" s="51" t="inlineStr">
        <is>
          <t>구간</t>
        </is>
      </c>
      <c r="C4" s="51" t="inlineStr">
        <is>
          <t>수단</t>
        </is>
      </c>
      <c r="D4" s="51" t="inlineStr">
        <is>
          <t>구분</t>
        </is>
      </c>
      <c r="E4" s="51" t="inlineStr">
        <is>
          <t>현지 금액</t>
        </is>
      </c>
      <c r="F4" s="51" t="inlineStr">
        <is>
          <t>통화</t>
        </is>
      </c>
      <c r="G4" s="52" t="inlineStr">
        <is>
          <t>1인 원화</t>
        </is>
      </c>
      <c r="H4" s="51" t="inlineStr">
        <is>
          <t>대중교통</t>
        </is>
      </c>
      <c r="I4" s="51" t="inlineStr">
        <is>
          <t>비고</t>
        </is>
      </c>
    </row>
    <row r="5" ht="15" customHeight="1" s="38">
      <c r="A5" s="45" t="inlineStr">
        <is>
          <t>9/19</t>
        </is>
      </c>
      <c r="B5" s="41" t="inlineStr">
        <is>
          <t>훙차오 공항 T1 → 난징둥루</t>
        </is>
      </c>
      <c r="C5" s="41" t="inlineStr">
        <is>
          <t>지하철 10호선</t>
        </is>
      </c>
      <c r="D5" s="53" t="inlineStr">
        <is>
          <t>시내</t>
        </is>
      </c>
      <c r="E5" s="54" t="n">
        <v>5</v>
      </c>
      <c r="F5" s="45" t="inlineStr">
        <is>
          <t>CNY</t>
        </is>
      </c>
      <c r="G5" s="48">
        <f>ROUND(E5*환율!$B$8/1,0)</f>
        <v/>
      </c>
      <c r="H5" s="55" t="inlineStr">
        <is>
          <t>○</t>
        </is>
      </c>
      <c r="I5" s="47" t="inlineStr">
        <is>
          <t>환승 없이 직통, 약 45분</t>
        </is>
      </c>
    </row>
    <row r="6" ht="15" customHeight="1" s="38">
      <c r="A6" s="45" t="inlineStr">
        <is>
          <t>9/19</t>
        </is>
      </c>
      <c r="B6" s="41" t="inlineStr">
        <is>
          <t>상하이 시내 이동 (예원·와이탄)</t>
        </is>
      </c>
      <c r="C6" s="41" t="inlineStr">
        <is>
          <t>지하철 10호선 · 도보</t>
        </is>
      </c>
      <c r="D6" s="53" t="inlineStr">
        <is>
          <t>시내</t>
        </is>
      </c>
      <c r="E6" s="54" t="n">
        <v>8</v>
      </c>
      <c r="F6" s="45" t="inlineStr">
        <is>
          <t>CNY</t>
        </is>
      </c>
      <c r="G6" s="48">
        <f>ROUND(E6*환율!$B$8/1,0)</f>
        <v/>
      </c>
      <c r="H6" s="55" t="inlineStr">
        <is>
          <t>○</t>
        </is>
      </c>
      <c r="I6" s="43" t="inlineStr">
        <is>
          <t>1회 3~4위안. 대부분 도보권</t>
        </is>
      </c>
    </row>
    <row r="7" ht="15" customHeight="1" s="38">
      <c r="A7" s="45" t="inlineStr">
        <is>
          <t>9/20</t>
        </is>
      </c>
      <c r="B7" s="41" t="inlineStr">
        <is>
          <t>시내 → 푸동 국제공항</t>
        </is>
      </c>
      <c r="C7" s="41" t="inlineStr">
        <is>
          <t>지하철 2호선</t>
        </is>
      </c>
      <c r="D7" s="53" t="inlineStr">
        <is>
          <t>시내</t>
        </is>
      </c>
      <c r="E7" s="54" t="n">
        <v>8</v>
      </c>
      <c r="F7" s="45" t="inlineStr">
        <is>
          <t>CNY</t>
        </is>
      </c>
      <c r="G7" s="48">
        <f>ROUND(E7*환율!$B$8/1,0)</f>
        <v/>
      </c>
      <c r="H7" s="55" t="inlineStr">
        <is>
          <t>○</t>
        </is>
      </c>
      <c r="I7" s="47" t="inlineStr">
        <is>
          <t>광란루역에서 열차 갈아탐, 1시간 15분</t>
        </is>
      </c>
    </row>
    <row r="8" ht="15" customHeight="1" s="38">
      <c r="A8" s="45" t="inlineStr">
        <is>
          <t>9/20</t>
        </is>
      </c>
      <c r="B8" s="41" t="inlineStr">
        <is>
          <t>공항 → 트빌리시 시내</t>
        </is>
      </c>
      <c r="C8" s="41" t="inlineStr">
        <is>
          <t>버스 37번</t>
        </is>
      </c>
      <c r="D8" s="53" t="inlineStr">
        <is>
          <t>시내</t>
        </is>
      </c>
      <c r="E8" s="54" t="n">
        <v>1</v>
      </c>
      <c r="F8" s="45" t="inlineStr">
        <is>
          <t>GEL</t>
        </is>
      </c>
      <c r="G8" s="48">
        <f>ROUND(E8*환율!$B$4/1,0)</f>
        <v/>
      </c>
      <c r="H8" s="55" t="inlineStr">
        <is>
          <t>○</t>
        </is>
      </c>
      <c r="I8" s="43" t="inlineStr">
        <is>
          <t>24시간 운행</t>
        </is>
      </c>
    </row>
    <row r="9" ht="15" customHeight="1" s="38">
      <c r="A9" s="45" t="inlineStr">
        <is>
          <t>9/21</t>
        </is>
      </c>
      <c r="B9" s="41" t="inlineStr">
        <is>
          <t>트빌리시 시내</t>
        </is>
      </c>
      <c r="C9" s="41" t="inlineStr">
        <is>
          <t>지하철·버스 (메트로머니)</t>
        </is>
      </c>
      <c r="D9" s="53" t="inlineStr">
        <is>
          <t>시내</t>
        </is>
      </c>
      <c r="E9" s="54" t="n">
        <v>4</v>
      </c>
      <c r="F9" s="45" t="inlineStr">
        <is>
          <t>GEL</t>
        </is>
      </c>
      <c r="G9" s="48">
        <f>ROUND(E9*환율!$B$4/1,0)</f>
        <v/>
      </c>
      <c r="H9" s="55" t="inlineStr">
        <is>
          <t>○</t>
        </is>
      </c>
      <c r="I9" s="43" t="inlineStr">
        <is>
          <t>1회 1라리, 90분 내 환승 무료</t>
        </is>
      </c>
    </row>
    <row r="10" ht="15" customHeight="1" s="38">
      <c r="A10" s="45" t="inlineStr">
        <is>
          <t>9/22</t>
        </is>
      </c>
      <c r="B10" s="41" t="inlineStr">
        <is>
          <t>디두베 → 므츠헤타 왕복</t>
        </is>
      </c>
      <c r="C10" s="41" t="inlineStr">
        <is>
          <t>마르슈르트카</t>
        </is>
      </c>
      <c r="D10" s="53" t="inlineStr">
        <is>
          <t>시외</t>
        </is>
      </c>
      <c r="E10" s="54" t="n">
        <v>3</v>
      </c>
      <c r="F10" s="45" t="inlineStr">
        <is>
          <t>GEL</t>
        </is>
      </c>
      <c r="G10" s="48">
        <f>ROUND(E10*환율!$B$4/1,0)</f>
        <v/>
      </c>
      <c r="H10" s="55" t="inlineStr">
        <is>
          <t>○</t>
        </is>
      </c>
      <c r="I10" s="43" t="inlineStr">
        <is>
          <t>20분 간격, 30분 소요</t>
        </is>
      </c>
    </row>
    <row r="11" ht="15" customHeight="1" s="38">
      <c r="A11" s="45" t="inlineStr">
        <is>
          <t>9/22</t>
        </is>
      </c>
      <c r="B11" s="41" t="inlineStr">
        <is>
          <t>므츠헤타 → 즈바리 수도원 왕복</t>
        </is>
      </c>
      <c r="C11" s="41" t="inlineStr">
        <is>
          <t>택시 (대기 포함)</t>
        </is>
      </c>
      <c r="D11" s="53" t="inlineStr">
        <is>
          <t>시내</t>
        </is>
      </c>
      <c r="E11" s="54" t="n">
        <v>25</v>
      </c>
      <c r="F11" s="45" t="inlineStr">
        <is>
          <t>GEL</t>
        </is>
      </c>
      <c r="G11" s="48">
        <f>ROUND(E11*환율!$B$4/1,0)</f>
        <v/>
      </c>
      <c r="H11" s="55" t="inlineStr">
        <is>
          <t>✕</t>
        </is>
      </c>
      <c r="I11" s="47" t="inlineStr">
        <is>
          <t>대중교통 없음 · 1인 단독이라 전액 부담</t>
        </is>
      </c>
    </row>
    <row r="12" ht="15" customHeight="1" s="38">
      <c r="A12" s="45" t="inlineStr">
        <is>
          <t>9/23</t>
        </is>
      </c>
      <c r="B12" s="41" t="inlineStr">
        <is>
          <t>디두베 → 스테판츠민다</t>
        </is>
      </c>
      <c r="C12" s="41" t="inlineStr">
        <is>
          <t>마르슈르트카</t>
        </is>
      </c>
      <c r="D12" s="53" t="inlineStr">
        <is>
          <t>시외</t>
        </is>
      </c>
      <c r="E12" s="54" t="n">
        <v>15</v>
      </c>
      <c r="F12" s="45" t="inlineStr">
        <is>
          <t>GEL</t>
        </is>
      </c>
      <c r="G12" s="48">
        <f>ROUND(E12*환율!$B$4/1,0)</f>
        <v/>
      </c>
      <c r="H12" s="55" t="inlineStr">
        <is>
          <t>○</t>
        </is>
      </c>
      <c r="I12" s="43" t="inlineStr">
        <is>
          <t>3.5~4시간 · 06:40 터미널 도착해 첫 편 탑승 권장</t>
        </is>
      </c>
    </row>
    <row r="13" ht="15" customHeight="1" s="38">
      <c r="A13" s="45" t="inlineStr">
        <is>
          <t>9/23</t>
        </is>
      </c>
      <c r="B13" s="41" t="inlineStr">
        <is>
          <t>스테판츠민다 → 게르게티 교회</t>
        </is>
      </c>
      <c r="C13" s="41" t="inlineStr">
        <is>
          <t>4WD (편도) · 하산은 도보</t>
        </is>
      </c>
      <c r="D13" s="53" t="inlineStr">
        <is>
          <t>시내</t>
        </is>
      </c>
      <c r="E13" s="54" t="n">
        <v>25</v>
      </c>
      <c r="F13" s="45" t="inlineStr">
        <is>
          <t>GEL</t>
        </is>
      </c>
      <c r="G13" s="48">
        <f>ROUND(E13*환율!$B$4/1,0)</f>
        <v/>
      </c>
      <c r="H13" s="55" t="inlineStr">
        <is>
          <t>○</t>
        </is>
      </c>
      <c r="I13" s="43" t="inlineStr">
        <is>
          <t>카즈베기 1박이라 도착일 오후에 확정 이용. 하산은 도보. 흐리면 B안(1박 연장)</t>
        </is>
      </c>
    </row>
    <row r="14" ht="15" customHeight="1" s="38">
      <c r="A14" s="45" t="inlineStr">
        <is>
          <t>9/24</t>
        </is>
      </c>
      <c r="B14" s="41" t="inlineStr">
        <is>
          <t>스테판츠민다 → 트빌리시</t>
        </is>
      </c>
      <c r="C14" s="41" t="inlineStr">
        <is>
          <t>마르슈르트카</t>
        </is>
      </c>
      <c r="D14" s="53" t="inlineStr">
        <is>
          <t>시외</t>
        </is>
      </c>
      <c r="E14" s="54" t="n">
        <v>15</v>
      </c>
      <c r="F14" s="45" t="inlineStr">
        <is>
          <t>GEL</t>
        </is>
      </c>
      <c r="G14" s="48">
        <f>ROUND(E14*환율!$B$4/1,0)</f>
        <v/>
      </c>
      <c r="H14" s="55" t="inlineStr">
        <is>
          <t>○</t>
        </is>
      </c>
      <c r="I14" s="47" t="inlineStr">
        <is>
          <t>주타 복귀 후 14:00 편 · 약 3~3.5시간</t>
        </is>
      </c>
    </row>
    <row r="15" ht="15" customHeight="1" s="38">
      <c r="A15" s="45" t="inlineStr">
        <is>
          <t>9/24</t>
        </is>
      </c>
      <c r="B15" s="41" t="inlineStr">
        <is>
          <t>트빌리시 시내 (디두베 → 숙소)</t>
        </is>
      </c>
      <c r="C15" s="41" t="inlineStr">
        <is>
          <t>지하철·버스</t>
        </is>
      </c>
      <c r="D15" s="53" t="inlineStr">
        <is>
          <t>시내</t>
        </is>
      </c>
      <c r="E15" s="54" t="n">
        <v>2</v>
      </c>
      <c r="F15" s="45" t="inlineStr">
        <is>
          <t>GEL</t>
        </is>
      </c>
      <c r="G15" s="48">
        <f>ROUND(E15*환율!$B$4/1,0)</f>
        <v/>
      </c>
      <c r="H15" s="55" t="inlineStr">
        <is>
          <t>○</t>
        </is>
      </c>
      <c r="I15" s="47" t="inlineStr">
        <is>
          <t>지하철</t>
        </is>
      </c>
    </row>
    <row r="16" ht="15" customHeight="1" s="38">
      <c r="A16" s="45" t="inlineStr">
        <is>
          <t>9/26</t>
        </is>
      </c>
      <c r="B16" s="41" t="inlineStr">
        <is>
          <t>오르타찰라 → 알라베르디</t>
        </is>
      </c>
      <c r="C16" s="41" t="inlineStr">
        <is>
          <t>합승택시 (예레반행)</t>
        </is>
      </c>
      <c r="D16" s="53" t="inlineStr">
        <is>
          <t>시외</t>
        </is>
      </c>
      <c r="E16" s="54" t="n">
        <v>40</v>
      </c>
      <c r="F16" s="45" t="inlineStr">
        <is>
          <t>GEL</t>
        </is>
      </c>
      <c r="G16" s="48">
        <f>ROUND(E16*환율!$B$4/1,0)</f>
        <v/>
      </c>
      <c r="H16" s="55" t="inlineStr">
        <is>
          <t>○</t>
        </is>
      </c>
      <c r="I16" s="47" t="inlineStr">
        <is>
          <t>오전 정시편(08:20) 이용 — 대기 불확실성 해소</t>
        </is>
      </c>
    </row>
    <row r="17" ht="15" customHeight="1" s="38">
      <c r="A17" s="45" t="inlineStr">
        <is>
          <t>9/26</t>
        </is>
      </c>
      <c r="B17" s="41" t="inlineStr">
        <is>
          <t>알라베르디 → 사나힌 왕복</t>
        </is>
      </c>
      <c r="C17" s="45" t="inlineStr">
        <is>
          <t>3번 버스</t>
        </is>
      </c>
      <c r="D17" s="53" t="inlineStr">
        <is>
          <t>시내</t>
        </is>
      </c>
      <c r="E17" s="54" t="n">
        <v>400</v>
      </c>
      <c r="F17" s="45" t="inlineStr">
        <is>
          <t>AMD</t>
        </is>
      </c>
      <c r="G17" s="48">
        <f>ROUND(E17*환율!$B$5/1,0)</f>
        <v/>
      </c>
      <c r="H17" s="55" t="inlineStr">
        <is>
          <t>○</t>
        </is>
      </c>
      <c r="I17" s="47" t="inlineStr">
        <is>
          <t>왕복 400드람 · 택시로 하흐파트와 묶으면 6,000드람 안팎</t>
        </is>
      </c>
    </row>
    <row r="18" ht="15" customHeight="1" s="38">
      <c r="A18" s="45" t="inlineStr">
        <is>
          <t>9/26</t>
        </is>
      </c>
      <c r="B18" s="41" t="inlineStr">
        <is>
          <t>알라베르디 → 하흐파트 왕복</t>
        </is>
      </c>
      <c r="C18" s="41" t="inlineStr">
        <is>
          <t>마르슈르트카</t>
        </is>
      </c>
      <c r="D18" s="53" t="inlineStr">
        <is>
          <t>시외</t>
        </is>
      </c>
      <c r="E18" s="54" t="n">
        <v>400</v>
      </c>
      <c r="F18" s="45" t="inlineStr">
        <is>
          <t>AMD</t>
        </is>
      </c>
      <c r="G18" s="48">
        <f>ROUND(E18*환율!$B$5/1,0)</f>
        <v/>
      </c>
      <c r="H18" s="55" t="inlineStr">
        <is>
          <t>○</t>
        </is>
      </c>
      <c r="I18" s="47" t="inlineStr">
        <is>
          <t>주말 3편(9·13·17시)뿐</t>
        </is>
      </c>
    </row>
    <row r="19" ht="15" customHeight="1" s="38">
      <c r="A19" s="45" t="inlineStr">
        <is>
          <t>9/27</t>
        </is>
      </c>
      <c r="B19" s="41" t="inlineStr">
        <is>
          <t>알라베르디 → 예레반</t>
        </is>
      </c>
      <c r="C19" s="41" t="inlineStr">
        <is>
          <t>마르슈르트카</t>
        </is>
      </c>
      <c r="D19" s="53" t="inlineStr">
        <is>
          <t>시외</t>
        </is>
      </c>
      <c r="E19" s="54" t="n">
        <v>1900</v>
      </c>
      <c r="F19" s="45" t="inlineStr">
        <is>
          <t>AMD</t>
        </is>
      </c>
      <c r="G19" s="48">
        <f>ROUND(E19*환율!$B$5/1,0)</f>
        <v/>
      </c>
      <c r="H19" s="55" t="inlineStr">
        <is>
          <t>○</t>
        </is>
      </c>
      <c r="I19" s="47" t="inlineStr">
        <is>
          <t>첫차 07:30 · 스피타크·아파란 경유 약 4시간 · 직행 없으면 바나조르 환승</t>
        </is>
      </c>
    </row>
    <row r="20" ht="15" customHeight="1" s="38">
      <c r="A20" s="45" t="inlineStr">
        <is>
          <t>10/2</t>
        </is>
      </c>
      <c r="B20" s="41" t="inlineStr">
        <is>
          <t>예레반 → 세반 왕복</t>
        </is>
      </c>
      <c r="C20" s="41" t="inlineStr">
        <is>
          <t>마르슈르트카</t>
        </is>
      </c>
      <c r="D20" s="53" t="inlineStr">
        <is>
          <t>시외</t>
        </is>
      </c>
      <c r="E20" s="54" t="n">
        <v>2500</v>
      </c>
      <c r="F20" s="45" t="inlineStr">
        <is>
          <t>AMD</t>
        </is>
      </c>
      <c r="G20" s="48">
        <f>ROUND(E20*환율!$B$5/1,0)</f>
        <v/>
      </c>
      <c r="H20" s="55" t="inlineStr">
        <is>
          <t>○</t>
        </is>
      </c>
      <c r="I20" s="47" t="inlineStr">
        <is>
          <t>편도 1,000~1,500드람 · 편도 1~1.5시간</t>
        </is>
      </c>
    </row>
    <row r="21" ht="15" customHeight="1" s="38">
      <c r="A21" s="45" t="inlineStr">
        <is>
          <t>10/2</t>
        </is>
      </c>
      <c r="B21" s="41" t="inlineStr">
        <is>
          <t>세반 → 세바나방크 반도</t>
        </is>
      </c>
      <c r="C21" s="41" t="inlineStr">
        <is>
          <t>도보 또는 택시</t>
        </is>
      </c>
      <c r="D21" s="53" t="inlineStr">
        <is>
          <t>시내</t>
        </is>
      </c>
      <c r="E21" s="54" t="n">
        <v>1000</v>
      </c>
      <c r="F21" s="45" t="inlineStr">
        <is>
          <t>AMD</t>
        </is>
      </c>
      <c r="G21" s="48">
        <f>ROUND(E21*환율!$B$5/1,0)</f>
        <v/>
      </c>
      <c r="H21" s="55" t="inlineStr">
        <is>
          <t>△</t>
        </is>
      </c>
      <c r="I21" s="47" t="inlineStr">
        <is>
          <t>도보 30분 · 1인 단독이라 전액 부담</t>
        </is>
      </c>
    </row>
    <row r="22" ht="15" customHeight="1" s="38">
      <c r="A22" s="45" t="inlineStr">
        <is>
          <t>9/27</t>
        </is>
      </c>
      <c r="B22" s="41" t="inlineStr">
        <is>
          <t>킬리키아 터미널 → 시내</t>
        </is>
      </c>
      <c r="C22" s="41" t="inlineStr">
        <is>
          <t>버스</t>
        </is>
      </c>
      <c r="D22" s="53" t="inlineStr">
        <is>
          <t>시내</t>
        </is>
      </c>
      <c r="E22" s="54" t="n">
        <v>100</v>
      </c>
      <c r="F22" s="45" t="inlineStr">
        <is>
          <t>AMD</t>
        </is>
      </c>
      <c r="G22" s="48">
        <f>ROUND(E22*환율!$B$5/1,0)</f>
        <v/>
      </c>
      <c r="H22" s="55" t="inlineStr">
        <is>
          <t>○</t>
        </is>
      </c>
      <c r="I22" s="47" t="inlineStr">
        <is>
          <t>또는 얀덱스 택시</t>
        </is>
      </c>
    </row>
    <row r="23" ht="15" customHeight="1" s="38">
      <c r="A23" s="45" t="inlineStr">
        <is>
          <t>9/28</t>
        </is>
      </c>
      <c r="B23" s="41" t="inlineStr">
        <is>
          <t>가르니 → 게하르트 왕복</t>
        </is>
      </c>
      <c r="C23" s="41" t="inlineStr">
        <is>
          <t>택시</t>
        </is>
      </c>
      <c r="D23" s="53" t="inlineStr">
        <is>
          <t>시내</t>
        </is>
      </c>
      <c r="E23" s="54" t="n">
        <v>3000</v>
      </c>
      <c r="F23" s="45" t="inlineStr">
        <is>
          <t>AMD</t>
        </is>
      </c>
      <c r="G23" s="48">
        <f>ROUND(E23*환율!$B$5/1,0)</f>
        <v/>
      </c>
      <c r="H23" s="55" t="inlineStr">
        <is>
          <t>✕</t>
        </is>
      </c>
      <c r="I23" s="43" t="inlineStr">
        <is>
          <t>9km, 대중교통 없음 · 1인 단독이라 전액 부담</t>
        </is>
      </c>
    </row>
    <row r="24" ht="15" customHeight="1" s="38">
      <c r="A24" s="45" t="inlineStr">
        <is>
          <t>9/29</t>
        </is>
      </c>
      <c r="B24" s="41" t="inlineStr">
        <is>
          <t>예레반 → 에치미아진 왕복</t>
        </is>
      </c>
      <c r="C24" s="41" t="inlineStr">
        <is>
          <t>마르슈르트카</t>
        </is>
      </c>
      <c r="D24" s="53" t="inlineStr">
        <is>
          <t>시내</t>
        </is>
      </c>
      <c r="E24" s="54" t="n">
        <v>600</v>
      </c>
      <c r="F24" s="45" t="inlineStr">
        <is>
          <t>AMD</t>
        </is>
      </c>
      <c r="G24" s="48">
        <f>ROUND(E24*환율!$B$5/1,0)</f>
        <v/>
      </c>
      <c r="H24" s="55" t="inlineStr">
        <is>
          <t>○</t>
        </is>
      </c>
      <c r="I24" s="47" t="inlineStr">
        <is>
          <t>킬리키아 터미널</t>
        </is>
      </c>
    </row>
    <row r="25" ht="15" customHeight="1" s="38">
      <c r="A25" s="45" t="inlineStr">
        <is>
          <t>9/29</t>
        </is>
      </c>
      <c r="B25" s="41" t="inlineStr">
        <is>
          <t>예레반 → 코르 비랍 왕복</t>
        </is>
      </c>
      <c r="C25" s="41" t="inlineStr">
        <is>
          <t>마르슈르트카</t>
        </is>
      </c>
      <c r="D25" s="53" t="inlineStr">
        <is>
          <t>시내</t>
        </is>
      </c>
      <c r="E25" s="54" t="n">
        <v>1200</v>
      </c>
      <c r="F25" s="45" t="inlineStr">
        <is>
          <t>AMD</t>
        </is>
      </c>
      <c r="G25" s="48">
        <f>ROUND(E25*환율!$B$5/1,0)</f>
        <v/>
      </c>
      <c r="H25" s="55" t="inlineStr">
        <is>
          <t>△</t>
        </is>
      </c>
      <c r="I25" s="47" t="inlineStr">
        <is>
          <t>하루 몇 편뿐</t>
        </is>
      </c>
    </row>
    <row r="26" ht="15" customHeight="1" s="38">
      <c r="A26" s="45" t="inlineStr">
        <is>
          <t>9/30</t>
        </is>
      </c>
      <c r="B26" s="41" t="inlineStr">
        <is>
          <t>예레반 → 아레니 갈림길 → 고리스</t>
        </is>
      </c>
      <c r="C26" s="41" t="inlineStr">
        <is>
          <t>마르슈르트카</t>
        </is>
      </c>
      <c r="D26" s="53" t="inlineStr">
        <is>
          <t>시외</t>
        </is>
      </c>
      <c r="E26" s="54" t="n">
        <v>3000</v>
      </c>
      <c r="F26" s="45" t="inlineStr">
        <is>
          <t>AMD</t>
        </is>
      </c>
      <c r="G26" s="48">
        <f>ROUND(E26*환율!$B$5/1,0)</f>
        <v/>
      </c>
      <c r="H26" s="55" t="inlineStr">
        <is>
          <t>○</t>
        </is>
      </c>
      <c r="I26" s="47" t="inlineStr">
        <is>
          <t>노라방크 입구에서 하차 후 지나가는 차 재탑승</t>
        </is>
      </c>
    </row>
    <row r="27" ht="15" customHeight="1" s="38">
      <c r="A27" s="45" t="inlineStr">
        <is>
          <t>9/30</t>
        </is>
      </c>
      <c r="B27" s="41" t="inlineStr">
        <is>
          <t>아레니 갈림길 → 노라방크 왕복</t>
        </is>
      </c>
      <c r="C27" s="41" t="inlineStr">
        <is>
          <t>택시</t>
        </is>
      </c>
      <c r="D27" s="53" t="inlineStr">
        <is>
          <t>시내</t>
        </is>
      </c>
      <c r="E27" s="54" t="n">
        <v>4000</v>
      </c>
      <c r="F27" s="45" t="inlineStr">
        <is>
          <t>AMD</t>
        </is>
      </c>
      <c r="G27" s="48">
        <f>ROUND(E27*환율!$B$5/1,0)</f>
        <v/>
      </c>
      <c r="H27" s="55" t="inlineStr">
        <is>
          <t>✕</t>
        </is>
      </c>
      <c r="I27" s="43" t="inlineStr">
        <is>
          <t>8km, 대중교통 없음 · 1인 단독이라 전액 부담</t>
        </is>
      </c>
    </row>
    <row r="28" ht="15" customHeight="1" s="38">
      <c r="A28" s="45" t="inlineStr">
        <is>
          <t>10/1</t>
        </is>
      </c>
      <c r="B28" s="41" t="inlineStr">
        <is>
          <t>고리스 → 할리조르 승강장 왕복</t>
        </is>
      </c>
      <c r="C28" s="41" t="inlineStr">
        <is>
          <t>택시</t>
        </is>
      </c>
      <c r="D28" s="53" t="inlineStr">
        <is>
          <t>시내</t>
        </is>
      </c>
      <c r="E28" s="54" t="n">
        <v>6000</v>
      </c>
      <c r="F28" s="45" t="inlineStr">
        <is>
          <t>AMD</t>
        </is>
      </c>
      <c r="G28" s="48">
        <f>ROUND(E28*환율!$B$5/1,0)</f>
        <v/>
      </c>
      <c r="H28" s="55" t="inlineStr">
        <is>
          <t>✕</t>
        </is>
      </c>
      <c r="I28" s="47" t="inlineStr">
        <is>
          <t>타테브 케이블카 승강장 · 1인 단독이라 전액 부담</t>
        </is>
      </c>
    </row>
    <row r="29" ht="15" customHeight="1" s="38">
      <c r="A29" s="45" t="inlineStr">
        <is>
          <t>10/1</t>
        </is>
      </c>
      <c r="B29" s="41" t="inlineStr">
        <is>
          <t>고리스 → 예레반</t>
        </is>
      </c>
      <c r="C29" s="41" t="inlineStr">
        <is>
          <t>마르슈르트카</t>
        </is>
      </c>
      <c r="D29" s="53" t="inlineStr">
        <is>
          <t>시외</t>
        </is>
      </c>
      <c r="E29" s="54" t="n">
        <v>3000</v>
      </c>
      <c r="F29" s="45" t="inlineStr">
        <is>
          <t>AMD</t>
        </is>
      </c>
      <c r="G29" s="48">
        <f>ROUND(E29*환율!$B$5/1,0)</f>
        <v/>
      </c>
      <c r="H29" s="55" t="inlineStr">
        <is>
          <t>○</t>
        </is>
      </c>
      <c r="I29" s="43" t="inlineStr">
        <is>
          <t>607번 · 고리스 출발 07·09·15·16시 네 편뿐 · 15:00 편 이용 · 4~5시간</t>
        </is>
      </c>
    </row>
    <row r="30" ht="15" customHeight="1" s="38">
      <c r="A30" s="45" t="inlineStr">
        <is>
          <t>10/2</t>
        </is>
      </c>
      <c r="B30" s="41" t="inlineStr">
        <is>
          <t>예레반 시내 (베르니사쥬 등)</t>
        </is>
      </c>
      <c r="C30" s="41" t="inlineStr">
        <is>
          <t>택시 2회</t>
        </is>
      </c>
      <c r="D30" s="53" t="inlineStr">
        <is>
          <t>시내</t>
        </is>
      </c>
      <c r="E30" s="54" t="n">
        <v>1500</v>
      </c>
      <c r="F30" s="45" t="inlineStr">
        <is>
          <t>AMD</t>
        </is>
      </c>
      <c r="G30" s="48">
        <f>ROUND(E30*환율!$B$5/1,0)</f>
        <v/>
      </c>
      <c r="H30" s="55" t="inlineStr">
        <is>
          <t>△</t>
        </is>
      </c>
      <c r="I30" s="47" t="inlineStr">
        <is>
          <t>숙소 유지, 짐 이동 없음</t>
        </is>
      </c>
    </row>
    <row r="31" ht="15" customHeight="1" s="38">
      <c r="A31" s="45" t="inlineStr">
        <is>
          <t>10/3</t>
        </is>
      </c>
      <c r="B31" s="41" t="inlineStr">
        <is>
          <t>예레반 → 즈바르트노츠 공항</t>
        </is>
      </c>
      <c r="C31" s="41" t="inlineStr">
        <is>
          <t>택시</t>
        </is>
      </c>
      <c r="D31" s="53" t="inlineStr">
        <is>
          <t>시내</t>
        </is>
      </c>
      <c r="E31" s="54" t="n">
        <v>4000</v>
      </c>
      <c r="F31" s="45" t="inlineStr">
        <is>
          <t>AMD</t>
        </is>
      </c>
      <c r="G31" s="48">
        <f>ROUND(E31*환율!$B$5/1,0)</f>
        <v/>
      </c>
      <c r="H31" s="55" t="inlineStr">
        <is>
          <t>△</t>
        </is>
      </c>
      <c r="I31" s="43" t="inlineStr">
        <is>
          <t>01:30경 출발, 심야 할증 감안</t>
        </is>
      </c>
    </row>
    <row r="32" ht="15" customHeight="1" s="38">
      <c r="A32" s="45" t="inlineStr">
        <is>
          <t>10/3</t>
        </is>
      </c>
      <c r="B32" s="41" t="inlineStr">
        <is>
          <t>아테네 공항 → 신타그마역</t>
        </is>
      </c>
      <c r="C32" s="41" t="inlineStr">
        <is>
          <t>메트로 3호선</t>
        </is>
      </c>
      <c r="D32" s="53" t="inlineStr">
        <is>
          <t>시내</t>
        </is>
      </c>
      <c r="E32" s="54" t="n">
        <v>10</v>
      </c>
      <c r="F32" s="45" t="inlineStr">
        <is>
          <t>EUR</t>
        </is>
      </c>
      <c r="G32" s="48">
        <f>ROUND(E32*환율!$B$6/1,0)</f>
        <v/>
      </c>
      <c r="H32" s="55" t="inlineStr">
        <is>
          <t>○</t>
        </is>
      </c>
      <c r="I32" s="47" t="inlineStr">
        <is>
          <t>공항선 정액 10유로, 40분</t>
        </is>
      </c>
    </row>
    <row r="33" ht="15" customHeight="1" s="38">
      <c r="A33" s="45" t="inlineStr">
        <is>
          <t>10/3</t>
        </is>
      </c>
      <c r="B33" s="41" t="inlineStr">
        <is>
          <t>아테네 시내 이동</t>
        </is>
      </c>
      <c r="C33" s="41" t="inlineStr">
        <is>
          <t>메트로·트램 4~5회</t>
        </is>
      </c>
      <c r="D33" s="53" t="inlineStr">
        <is>
          <t>시내</t>
        </is>
      </c>
      <c r="E33" s="54" t="n">
        <v>6</v>
      </c>
      <c r="F33" s="45" t="inlineStr">
        <is>
          <t>EUR</t>
        </is>
      </c>
      <c r="G33" s="48">
        <f>ROUND(E33*환율!$B$6/1,0)</f>
        <v/>
      </c>
      <c r="H33" s="55" t="inlineStr">
        <is>
          <t>○</t>
        </is>
      </c>
      <c r="I33" s="43" t="inlineStr">
        <is>
          <t>1회 1.20유로. 대부분 도보권이라 보조 수단</t>
        </is>
      </c>
    </row>
    <row r="34" ht="15" customHeight="1" s="38">
      <c r="A34" s="45" t="inlineStr">
        <is>
          <t>10/4</t>
        </is>
      </c>
      <c r="B34" s="41" t="inlineStr">
        <is>
          <t>아테네 → 공항 (04:10 출발)</t>
        </is>
      </c>
      <c r="C34" s="41" t="inlineStr">
        <is>
          <t>X95 공항버스</t>
        </is>
      </c>
      <c r="D34" s="53" t="inlineStr">
        <is>
          <t>시내</t>
        </is>
      </c>
      <c r="E34" s="54" t="n">
        <v>6.2</v>
      </c>
      <c r="F34" s="45" t="inlineStr">
        <is>
          <t>EUR</t>
        </is>
      </c>
      <c r="G34" s="48">
        <f>ROUND(E34*환율!$B$6/1,0)</f>
        <v/>
      </c>
      <c r="H34" s="55" t="inlineStr">
        <is>
          <t>○</t>
        </is>
      </c>
      <c r="I34" s="47" t="inlineStr">
        <is>
          <t>신타그마 발 24시간 운행 · 야간 60분 간격이라 03:55까지 정류장 도착 · 승차권은 전날 지하철역에서 미리 구입 · 택시는 심야 정액 55유로</t>
        </is>
      </c>
    </row>
    <row r="35" ht="15" customHeight="1" s="38">
      <c r="A35" s="45" t="inlineStr">
        <is>
          <t>10/4</t>
        </is>
      </c>
      <c r="B35" s="41" t="inlineStr">
        <is>
          <t>자이드 국제공항 → TRYP 호텔</t>
        </is>
      </c>
      <c r="C35" s="41" t="inlineStr">
        <is>
          <t>택시</t>
        </is>
      </c>
      <c r="D35" s="53" t="inlineStr">
        <is>
          <t>시내</t>
        </is>
      </c>
      <c r="E35" s="54" t="n">
        <v>90</v>
      </c>
      <c r="F35" s="45" t="inlineStr">
        <is>
          <t>AED</t>
        </is>
      </c>
      <c r="G35" s="48">
        <f>ROUND(E35*환율!$B$7/1,0)</f>
        <v/>
      </c>
      <c r="H35" s="55" t="inlineStr">
        <is>
          <t>✕</t>
        </is>
      </c>
      <c r="I35" s="43" t="inlineStr">
        <is>
          <t>칼리파 bin 자이드 St · 30~40분 · 미터 약 85~100디르함</t>
        </is>
      </c>
    </row>
    <row r="36" ht="15" customHeight="1" s="38">
      <c r="A36" s="45" t="inlineStr">
        <is>
          <t>10/4</t>
        </is>
      </c>
      <c r="B36" s="41" t="inlineStr">
        <is>
          <t>TRYP 호텔 → 루브르 아부다비</t>
        </is>
      </c>
      <c r="C36" s="41" t="inlineStr">
        <is>
          <t>택시</t>
        </is>
      </c>
      <c r="D36" s="53" t="inlineStr">
        <is>
          <t>시내</t>
        </is>
      </c>
      <c r="E36" s="54" t="n">
        <v>45</v>
      </c>
      <c r="F36" s="45" t="inlineStr">
        <is>
          <t>AED</t>
        </is>
      </c>
      <c r="G36" s="48">
        <f>ROUND(E36*환율!$B$7/1,0)</f>
        <v/>
      </c>
      <c r="H36" s="55" t="inlineStr">
        <is>
          <t>✕</t>
        </is>
      </c>
      <c r="I36" s="47" t="inlineStr">
        <is>
          <t>사디야트 섬 · 약 14km, 20~25분</t>
        </is>
      </c>
    </row>
    <row r="37" ht="15" customHeight="1" s="38">
      <c r="A37" s="45" t="inlineStr">
        <is>
          <t>10/4</t>
        </is>
      </c>
      <c r="B37" s="41" t="inlineStr">
        <is>
          <t>루브르 → 셰이크 자이드 모스크</t>
        </is>
      </c>
      <c r="C37" s="41" t="inlineStr">
        <is>
          <t>택시</t>
        </is>
      </c>
      <c r="D37" s="53" t="inlineStr">
        <is>
          <t>시내</t>
        </is>
      </c>
      <c r="E37" s="54" t="n">
        <v>75</v>
      </c>
      <c r="F37" s="45" t="inlineStr">
        <is>
          <t>AED</t>
        </is>
      </c>
      <c r="G37" s="48">
        <f>ROUND(E37*환율!$B$7/1,0)</f>
        <v/>
      </c>
      <c r="H37" s="55" t="inlineStr">
        <is>
          <t>✕</t>
        </is>
      </c>
      <c r="I37" s="47" t="inlineStr">
        <is>
          <t>섬 반대편 횡단 약 28km, 30~35분 · 94번 버스면 2디르함이나 60~75분</t>
        </is>
      </c>
    </row>
    <row r="38" ht="15" customHeight="1" s="38">
      <c r="A38" s="45" t="inlineStr">
        <is>
          <t>10/4</t>
        </is>
      </c>
      <c r="B38" s="41" t="inlineStr">
        <is>
          <t>모스크 → TRYP 호텔</t>
        </is>
      </c>
      <c r="C38" s="41" t="inlineStr">
        <is>
          <t>택시</t>
        </is>
      </c>
      <c r="D38" s="53" t="inlineStr">
        <is>
          <t>시내</t>
        </is>
      </c>
      <c r="E38" s="54" t="n">
        <v>45</v>
      </c>
      <c r="F38" s="45" t="inlineStr">
        <is>
          <t>AED</t>
        </is>
      </c>
      <c r="G38" s="48">
        <f>ROUND(E38*환율!$B$7/1,0)</f>
        <v/>
      </c>
      <c r="H38" s="55" t="inlineStr">
        <is>
          <t>✕</t>
        </is>
      </c>
      <c r="I38" s="47" t="inlineStr">
        <is>
          <t>약 14km, 18~20분</t>
        </is>
      </c>
    </row>
    <row r="39" ht="15" customHeight="1" s="38">
      <c r="A39" s="45" t="inlineStr">
        <is>
          <t>10/5</t>
        </is>
      </c>
      <c r="B39" s="41" t="inlineStr">
        <is>
          <t>TRYP 호텔 → 공항 (05:30)</t>
        </is>
      </c>
      <c r="C39" s="41" t="inlineStr">
        <is>
          <t>A2 공항버스</t>
        </is>
      </c>
      <c r="D39" s="53" t="inlineStr">
        <is>
          <t>시내</t>
        </is>
      </c>
      <c r="E39" s="54" t="n">
        <v>14</v>
      </c>
      <c r="F39" s="45" t="inlineStr">
        <is>
          <t>AED</t>
        </is>
      </c>
      <c r="G39" s="48">
        <f>ROUND(E39*환율!$B$7/1,0)</f>
        <v/>
      </c>
      <c r="H39" s="55" t="inlineStr">
        <is>
          <t>○</t>
        </is>
      </c>
      <c r="I39" s="43" t="inlineStr">
        <is>
          <t>버스 4디르함 + 하필라트 카드 10디르함 · 칼리파 bin 자이드 St 승차 · 40~45분</t>
        </is>
      </c>
    </row>
    <row r="40" ht="15" customHeight="1" s="38">
      <c r="A40" s="45" t="inlineStr">
        <is>
          <t>9/28</t>
        </is>
      </c>
      <c r="B40" s="41" t="inlineStr">
        <is>
          <t>예레반 → 가르니 왕복</t>
        </is>
      </c>
      <c r="C40" s="41" t="inlineStr">
        <is>
          <t>266·284번 버스</t>
        </is>
      </c>
      <c r="D40" s="53" t="inlineStr">
        <is>
          <t>시외</t>
        </is>
      </c>
      <c r="E40" s="54" t="n">
        <v>500</v>
      </c>
      <c r="F40" s="45" t="inlineStr">
        <is>
          <t>AMD</t>
        </is>
      </c>
      <c r="G40" s="48">
        <f>ROUND(E40*환율!$B$5/1,0)</f>
        <v/>
      </c>
      <c r="H40" s="55" t="inlineStr">
        <is>
          <t>○</t>
        </is>
      </c>
      <c r="I40" s="43" t="inlineStr">
        <is>
          <t>가이 정류장 출발 · 30분 간격 · 왕복 500드람</t>
        </is>
      </c>
    </row>
    <row r="41" ht="15" customHeight="1" s="38">
      <c r="A41" s="45" t="inlineStr">
        <is>
          <t>9/24</t>
        </is>
      </c>
      <c r="B41" s="41" t="inlineStr">
        <is>
          <t>스테판츠민다 → 주타 왕복</t>
        </is>
      </c>
      <c r="C41" s="41" t="inlineStr">
        <is>
          <t>4WD 택시 (대기 포함)</t>
        </is>
      </c>
      <c r="D41" s="53" t="inlineStr">
        <is>
          <t>시내</t>
        </is>
      </c>
      <c r="E41" s="54" t="n">
        <v>80</v>
      </c>
      <c r="F41" s="45" t="inlineStr">
        <is>
          <t>GEL</t>
        </is>
      </c>
      <c r="G41" s="48">
        <f>ROUND(E41*환율!$B$4/1,0)</f>
        <v/>
      </c>
      <c r="H41" s="55" t="inlineStr">
        <is>
          <t>✕</t>
        </is>
      </c>
      <c r="I41" s="43" t="inlineStr">
        <is>
          <t>대중교통 없음 · 25km 비포장 · 1인 단독이면 전액. 동행 구하면 40라리</t>
        </is>
      </c>
    </row>
    <row r="42" ht="15" customHeight="1" s="38">
      <c r="A42" s="45" t="inlineStr">
        <is>
          <t>9/25</t>
        </is>
      </c>
      <c r="B42" s="41" t="inlineStr">
        <is>
          <t>트빌리시 → 시그나기 왕복</t>
        </is>
      </c>
      <c r="C42" s="41" t="inlineStr">
        <is>
          <t>마르슈르트카</t>
        </is>
      </c>
      <c r="D42" s="53" t="inlineStr">
        <is>
          <t>시외</t>
        </is>
      </c>
      <c r="E42" s="54" t="n">
        <v>25</v>
      </c>
      <c r="F42" s="45" t="inlineStr">
        <is>
          <t>GEL</t>
        </is>
      </c>
      <c r="G42" s="48">
        <f>ROUND(E42*환율!$B$4/1,0)</f>
        <v/>
      </c>
      <c r="H42" s="55" t="inlineStr">
        <is>
          <t>○</t>
        </is>
      </c>
      <c r="I42" s="43" t="inlineStr">
        <is>
          <t>삼고리 터미널 출발 · 편도 2~2.5시간 · 보드베는 요청하면 하차 · 돌아오는 막차 18~19시</t>
        </is>
      </c>
    </row>
    <row r="43" ht="15" customHeight="1" s="38">
      <c r="A43" s="56" t="inlineStr">
        <is>
          <t>교통비 합계</t>
        </is>
      </c>
      <c r="B43" s="57" t="n"/>
      <c r="C43" s="57" t="n"/>
      <c r="D43" s="57" t="n"/>
      <c r="E43" s="57" t="n"/>
      <c r="F43" s="57" t="n"/>
      <c r="G43" s="58">
        <f>SUM(G5:G42)</f>
        <v/>
      </c>
      <c r="H43" s="57" t="n"/>
      <c r="I43" s="57" t="n"/>
    </row>
    <row r="44">
      <c r="A44" s="37" t="inlineStr">
        <is>
          <t>택시 구간: 즈바리 · 주타 · 게하르트 · 노라방크 · 타테브 · 아부다비 10/4 시내 이동. 아테네(X95)·아부다비(A2) 새벽 공항행은 24시간 공항버스로 해결했습니다.</t>
        </is>
      </c>
    </row>
    <row r="45">
      <c r="A45" s="49" t="inlineStr">
        <is>
          <t>아부다비 10/4는 루브르(사디야트, 북쪽)와 모스크(알 마크타, 남쪽)가 정반대 방향이라 전 구간 택시로 잡았습니다. 루브르→모스크만 94번 버스로 바꾸면 75→2디르함이지만 60~75분이 걸립니다.</t>
        </is>
      </c>
    </row>
    <row r="46">
      <c r="A46" s="49" t="inlineStr">
        <is>
          <t>아부다비 10/4는 루브르(사디야트, 북쪽)와 모스크(알 마크타, 남쪽)가 정반대 방향이라 전 구간 택시로 잡았습니다. 루브르→모스크만 94번 버스로 바꾸면 75→2디르함이지만 60~75분이 걸립니다.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4" customWidth="1" style="37" min="2" max="2"/>
    <col width="12" customWidth="1" style="37" min="3" max="3"/>
    <col width="8" customWidth="1" style="37" min="4" max="4"/>
    <col width="12" customWidth="1" style="37" min="5" max="5"/>
    <col width="40" customWidth="1" style="37" min="6" max="6"/>
  </cols>
  <sheetData>
    <row r="1" ht="15.75" customHeight="1" s="38">
      <c r="A1" s="39" t="inlineStr">
        <is>
          <t>입장료 — 수도원은 대부분 무료</t>
        </is>
      </c>
    </row>
    <row r="3" ht="15" customHeight="1" s="38">
      <c r="A3" s="40" t="inlineStr">
        <is>
          <t>날짜</t>
        </is>
      </c>
      <c r="B3" s="40" t="inlineStr">
        <is>
          <t>장소</t>
        </is>
      </c>
      <c r="C3" s="40" t="inlineStr">
        <is>
          <t>현지 금액</t>
        </is>
      </c>
      <c r="D3" s="40" t="inlineStr">
        <is>
          <t>통화</t>
        </is>
      </c>
      <c r="E3" s="40" t="inlineStr">
        <is>
          <t>원화</t>
        </is>
      </c>
      <c r="F3" s="40" t="inlineStr">
        <is>
          <t>비고</t>
        </is>
      </c>
    </row>
    <row r="4" ht="15" customHeight="1" s="38">
      <c r="A4" s="45" t="inlineStr">
        <is>
          <t>9/19</t>
        </is>
      </c>
      <c r="B4" s="41" t="inlineStr">
        <is>
          <t>예원 (豫园)</t>
        </is>
      </c>
      <c r="C4" s="54" t="n">
        <v>40</v>
      </c>
      <c r="D4" s="45" t="inlineStr">
        <is>
          <t>CNY</t>
        </is>
      </c>
      <c r="E4" s="48">
        <f>ROUND(C4*환율!$B$8,0)</f>
        <v/>
      </c>
      <c r="F4" s="47" t="inlineStr">
        <is>
          <t>09:00~16:30 폐장(매표 마감 더 이름) · 9월은 성수기 요금 40위안</t>
        </is>
      </c>
    </row>
    <row r="5" ht="15" customHeight="1" s="38">
      <c r="A5" s="45" t="inlineStr">
        <is>
          <t>9/21</t>
        </is>
      </c>
      <c r="B5" s="41" t="inlineStr">
        <is>
          <t>아바노투바니 유황온천 (공용탕)</t>
        </is>
      </c>
      <c r="C5" s="54" t="n">
        <v>5</v>
      </c>
      <c r="D5" s="45" t="inlineStr">
        <is>
          <t>GEL</t>
        </is>
      </c>
      <c r="E5" s="48">
        <f>ROUND(C5*환율!$B$4,0)</f>
        <v/>
      </c>
      <c r="F5" s="47" t="inlineStr">
        <is>
          <t>개인탕은 50~100라리</t>
        </is>
      </c>
    </row>
    <row r="6" ht="15" customHeight="1" s="38">
      <c r="A6" s="45" t="inlineStr">
        <is>
          <t>9/21</t>
        </is>
      </c>
      <c r="B6" s="41" t="inlineStr">
        <is>
          <t>나리칼라 케이블카 편도×2</t>
        </is>
      </c>
      <c r="C6" s="54" t="n">
        <v>2</v>
      </c>
      <c r="D6" s="45" t="inlineStr">
        <is>
          <t>GEL</t>
        </is>
      </c>
      <c r="E6" s="48">
        <f>ROUND(C6*환율!$B$4,0)</f>
        <v/>
      </c>
      <c r="F6" s="47" t="inlineStr">
        <is>
          <t>메트로머니로 결제</t>
        </is>
      </c>
    </row>
    <row r="7" ht="15" customHeight="1" s="38">
      <c r="A7" s="45" t="inlineStr">
        <is>
          <t>9/22</t>
        </is>
      </c>
      <c r="B7" s="41" t="inlineStr">
        <is>
          <t>스베티츠호벨리 대성당</t>
        </is>
      </c>
      <c r="C7" s="54" t="n">
        <v>0</v>
      </c>
      <c r="D7" s="45" t="inlineStr">
        <is>
          <t>GEL</t>
        </is>
      </c>
      <c r="E7" s="48">
        <f>ROUND(C7*환율!$B$4,0)</f>
        <v/>
      </c>
      <c r="F7" s="47" t="inlineStr">
        <is>
          <t>무료</t>
        </is>
      </c>
    </row>
    <row r="8" ht="15" customHeight="1" s="38">
      <c r="A8" s="45" t="inlineStr">
        <is>
          <t>9/22</t>
        </is>
      </c>
      <c r="B8" s="41" t="inlineStr">
        <is>
          <t>즈바리 수도원</t>
        </is>
      </c>
      <c r="C8" s="54" t="n">
        <v>0</v>
      </c>
      <c r="D8" s="45" t="inlineStr">
        <is>
          <t>GEL</t>
        </is>
      </c>
      <c r="E8" s="48">
        <f>ROUND(C8*환율!$B$4,0)</f>
        <v/>
      </c>
      <c r="F8" s="47" t="inlineStr">
        <is>
          <t>무료</t>
        </is>
      </c>
    </row>
    <row r="9" ht="15" customHeight="1" s="38">
      <c r="A9" s="45" t="inlineStr">
        <is>
          <t>9/24</t>
        </is>
      </c>
      <c r="B9" s="41" t="inlineStr">
        <is>
          <t>게르게티 삼위일체 교회</t>
        </is>
      </c>
      <c r="C9" s="54" t="n">
        <v>0</v>
      </c>
      <c r="D9" s="45" t="inlineStr">
        <is>
          <t>GEL</t>
        </is>
      </c>
      <c r="E9" s="48">
        <f>ROUND(C9*환율!$B$4,0)</f>
        <v/>
      </c>
      <c r="F9" s="47" t="inlineStr">
        <is>
          <t>무료</t>
        </is>
      </c>
    </row>
    <row r="10" ht="15" customHeight="1" s="38">
      <c r="A10" s="45" t="inlineStr">
        <is>
          <t>9/26</t>
        </is>
      </c>
      <c r="B10" s="41" t="inlineStr">
        <is>
          <t>사나힌 수도원</t>
        </is>
      </c>
      <c r="C10" s="54" t="n">
        <v>0</v>
      </c>
      <c r="D10" s="45" t="inlineStr">
        <is>
          <t>AMD</t>
        </is>
      </c>
      <c r="E10" s="48">
        <f>ROUND(C10*환율!$B$5,0)</f>
        <v/>
      </c>
      <c r="F10" s="47" t="inlineStr">
        <is>
          <t>무료</t>
        </is>
      </c>
    </row>
    <row r="11" ht="15" customHeight="1" s="38">
      <c r="A11" s="45" t="inlineStr">
        <is>
          <t>9/25</t>
        </is>
      </c>
      <c r="B11" s="41" t="inlineStr">
        <is>
          <t>시그나기 와이너리 시음 (선택)</t>
        </is>
      </c>
      <c r="C11" s="54" t="n">
        <v>15</v>
      </c>
      <c r="D11" s="45" t="inlineStr">
        <is>
          <t>GEL</t>
        </is>
      </c>
      <c r="E11" s="48">
        <f>ROUND(C11*환율!$B$4,0)</f>
        <v/>
      </c>
      <c r="F11" s="47" t="inlineStr">
        <is>
          <t>크베브리 오렌지와인. 생략 가능 · 보드베·시그나기 성벽은 무료</t>
        </is>
      </c>
    </row>
    <row r="12" ht="15" customHeight="1" s="38">
      <c r="A12" s="45" t="inlineStr">
        <is>
          <t>9/26</t>
        </is>
      </c>
      <c r="B12" s="41" t="inlineStr">
        <is>
          <t>하흐파트 수도원</t>
        </is>
      </c>
      <c r="C12" s="54" t="n">
        <v>0</v>
      </c>
      <c r="D12" s="45" t="inlineStr">
        <is>
          <t>AMD</t>
        </is>
      </c>
      <c r="E12" s="48">
        <f>ROUND(C12*환율!$B$5,0)</f>
        <v/>
      </c>
      <c r="F12" s="47" t="inlineStr">
        <is>
          <t>무료</t>
        </is>
      </c>
    </row>
    <row r="13" ht="15" customHeight="1" s="38">
      <c r="A13" s="45" t="inlineStr">
        <is>
          <t>10/2</t>
        </is>
      </c>
      <c r="B13" s="41" t="inlineStr">
        <is>
          <t>세바나방크</t>
        </is>
      </c>
      <c r="C13" s="54" t="n">
        <v>0</v>
      </c>
      <c r="D13" s="45" t="inlineStr">
        <is>
          <t>AMD</t>
        </is>
      </c>
      <c r="E13" s="48">
        <f>ROUND(C13*환율!$B$5,0)</f>
        <v/>
      </c>
      <c r="F13" s="47" t="inlineStr">
        <is>
          <t>무료</t>
        </is>
      </c>
    </row>
    <row r="14" ht="15" customHeight="1" s="38">
      <c r="A14" s="45" t="inlineStr">
        <is>
          <t>9/28</t>
        </is>
      </c>
      <c r="B14" s="41" t="inlineStr">
        <is>
          <t>가르니 신전</t>
        </is>
      </c>
      <c r="C14" s="54" t="n">
        <v>1800</v>
      </c>
      <c r="D14" s="45" t="inlineStr">
        <is>
          <t>AMD</t>
        </is>
      </c>
      <c r="E14" s="48">
        <f>ROUND(C14*환율!$B$5,0)</f>
        <v/>
      </c>
      <c r="F14" s="47" t="inlineStr">
        <is>
          <t>돌의 교향곡은 무료</t>
        </is>
      </c>
    </row>
    <row r="15" ht="15" customHeight="1" s="38">
      <c r="A15" s="45" t="inlineStr">
        <is>
          <t>9/28</t>
        </is>
      </c>
      <c r="B15" s="41" t="inlineStr">
        <is>
          <t>게하르트 수도원</t>
        </is>
      </c>
      <c r="C15" s="54" t="n">
        <v>0</v>
      </c>
      <c r="D15" s="45" t="inlineStr">
        <is>
          <t>AMD</t>
        </is>
      </c>
      <c r="E15" s="48">
        <f>ROUND(C15*환율!$B$5,0)</f>
        <v/>
      </c>
      <c r="F15" s="47" t="inlineStr">
        <is>
          <t>무료</t>
        </is>
      </c>
    </row>
    <row r="16" ht="15" customHeight="1" s="38">
      <c r="A16" s="45" t="inlineStr">
        <is>
          <t>9/29</t>
        </is>
      </c>
      <c r="B16" s="41" t="inlineStr">
        <is>
          <t>에치미아진 보물관</t>
        </is>
      </c>
      <c r="C16" s="54" t="n">
        <v>1500</v>
      </c>
      <c r="D16" s="45" t="inlineStr">
        <is>
          <t>AMD</t>
        </is>
      </c>
      <c r="E16" s="48">
        <f>ROUND(C16*환율!$B$5,0)</f>
        <v/>
      </c>
      <c r="F16" s="47" t="inlineStr">
        <is>
          <t>대성당 자체는 무료</t>
        </is>
      </c>
    </row>
    <row r="17" ht="15" customHeight="1" s="38">
      <c r="A17" s="45" t="inlineStr">
        <is>
          <t>9/29</t>
        </is>
      </c>
      <c r="B17" s="41" t="inlineStr">
        <is>
          <t>코르 비랍</t>
        </is>
      </c>
      <c r="C17" s="54" t="n">
        <v>0</v>
      </c>
      <c r="D17" s="45" t="inlineStr">
        <is>
          <t>AMD</t>
        </is>
      </c>
      <c r="E17" s="48">
        <f>ROUND(C17*환율!$B$5,0)</f>
        <v/>
      </c>
      <c r="F17" s="47" t="inlineStr">
        <is>
          <t>무료</t>
        </is>
      </c>
    </row>
    <row r="18" ht="15" customHeight="1" s="38">
      <c r="A18" s="45" t="inlineStr">
        <is>
          <t>9/30</t>
        </is>
      </c>
      <c r="B18" s="41" t="inlineStr">
        <is>
          <t>노라방크</t>
        </is>
      </c>
      <c r="C18" s="54" t="n">
        <v>0</v>
      </c>
      <c r="D18" s="45" t="inlineStr">
        <is>
          <t>AMD</t>
        </is>
      </c>
      <c r="E18" s="48">
        <f>ROUND(C18*환율!$B$5,0)</f>
        <v/>
      </c>
      <c r="F18" s="47" t="inlineStr">
        <is>
          <t>무료</t>
        </is>
      </c>
    </row>
    <row r="19" ht="15" customHeight="1" s="38">
      <c r="A19" s="45" t="inlineStr">
        <is>
          <t>10/1</t>
        </is>
      </c>
      <c r="B19" s="41" t="inlineStr">
        <is>
          <t>윙스 오브 타테브 케이블카 왕복</t>
        </is>
      </c>
      <c r="C19" s="54" t="n">
        <v>8000</v>
      </c>
      <c r="D19" s="45" t="inlineStr">
        <is>
          <t>AMD</t>
        </is>
      </c>
      <c r="E19" s="48">
        <f>ROUND(C19*환율!$B$5,0)</f>
        <v/>
      </c>
      <c r="F19" s="47" t="inlineStr">
        <is>
          <t>월요일 휴무</t>
        </is>
      </c>
    </row>
    <row r="20" ht="15" customHeight="1" s="38">
      <c r="A20" s="45" t="inlineStr">
        <is>
          <t>10/1</t>
        </is>
      </c>
      <c r="B20" s="41" t="inlineStr">
        <is>
          <t>타테브 수도원</t>
        </is>
      </c>
      <c r="C20" s="54" t="n">
        <v>0</v>
      </c>
      <c r="D20" s="45" t="inlineStr">
        <is>
          <t>AMD</t>
        </is>
      </c>
      <c r="E20" s="48">
        <f>ROUND(C20*환율!$B$5,0)</f>
        <v/>
      </c>
      <c r="F20" s="47" t="inlineStr">
        <is>
          <t>무료</t>
        </is>
      </c>
    </row>
    <row r="21" ht="15" customHeight="1" s="38">
      <c r="A21" s="45" t="inlineStr">
        <is>
          <t>10/3</t>
        </is>
      </c>
      <c r="B21" s="41" t="inlineStr">
        <is>
          <t>아크로폴리스</t>
        </is>
      </c>
      <c r="C21" s="54" t="n">
        <v>30</v>
      </c>
      <c r="D21" s="45" t="inlineStr">
        <is>
          <t>EUR</t>
        </is>
      </c>
      <c r="E21" s="48">
        <f>ROUND(C21*환율!$B$6,0)</f>
        <v/>
      </c>
      <c r="F21" s="47" t="inlineStr">
        <is>
          <t>hhticket.gr 공식 정가 30유로(연중 동일) · 타임드 엔트리 필수 · 60일 전 오픈, 성수기 5~7일 전 매진</t>
        </is>
      </c>
    </row>
    <row r="22" ht="15" customHeight="1" s="38">
      <c r="A22" s="45" t="inlineStr">
        <is>
          <t>10/3</t>
        </is>
      </c>
      <c r="B22" s="41" t="inlineStr">
        <is>
          <t>고대 아고라 · 헤파이스토스 신전</t>
        </is>
      </c>
      <c r="C22" s="54" t="n">
        <v>12</v>
      </c>
      <c r="D22" s="45" t="inlineStr">
        <is>
          <t>EUR</t>
        </is>
      </c>
      <c r="E22" s="48">
        <f>ROUND(C22*환율!$B$6,0)</f>
        <v/>
      </c>
      <c r="F22" s="47" t="inlineStr">
        <is>
          <t>통합권 폐지로 별도 구매 필요 — 현장 확인</t>
        </is>
      </c>
    </row>
    <row r="23" ht="15" customHeight="1" s="38">
      <c r="A23" s="45" t="inlineStr">
        <is>
          <t>10/3</t>
        </is>
      </c>
      <c r="B23" s="41" t="inlineStr">
        <is>
          <t>아크로폴리스 박물관</t>
        </is>
      </c>
      <c r="C23" s="54" t="n">
        <v>20</v>
      </c>
      <c r="D23" s="45" t="inlineStr">
        <is>
          <t>EUR</t>
        </is>
      </c>
      <c r="E23" s="48">
        <f>ROUND(C23*환율!$B$6,0)</f>
        <v/>
      </c>
      <c r="F23" s="47" t="inlineStr">
        <is>
          <t>실제 확인가 (별도 티켓)</t>
        </is>
      </c>
    </row>
    <row r="24" ht="15" customHeight="1" s="38">
      <c r="A24" s="45" t="inlineStr">
        <is>
          <t>10/4</t>
        </is>
      </c>
      <c r="B24" s="41" t="inlineStr">
        <is>
          <t>루브르 아부다비</t>
        </is>
      </c>
      <c r="C24" s="54" t="n">
        <v>63</v>
      </c>
      <c r="D24" s="45" t="inlineStr">
        <is>
          <t>AED</t>
        </is>
      </c>
      <c r="E24" s="48">
        <f>ROUND(C24*환율!$B$7,0)</f>
        <v/>
      </c>
      <c r="F24" s="47" t="inlineStr">
        <is>
          <t>10/4 일요일 10:00~20:30, 최종 입장 20:00 · 월요일 휴관 · 돔은 자정까지</t>
        </is>
      </c>
    </row>
    <row r="25" ht="15" customHeight="1" s="38">
      <c r="A25" s="45" t="inlineStr">
        <is>
          <t>10/4</t>
        </is>
      </c>
      <c r="B25" s="41" t="inlineStr">
        <is>
          <t>셰이크 자이드 그랜드 모스크</t>
        </is>
      </c>
      <c r="C25" s="54" t="n">
        <v>0</v>
      </c>
      <c r="D25" s="45" t="inlineStr">
        <is>
          <t>AED</t>
        </is>
      </c>
      <c r="E25" s="48">
        <f>ROUND(C25*환율!$B$7,0)</f>
        <v/>
      </c>
      <c r="F25" s="47" t="inlineStr">
        <is>
          <t>무료</t>
        </is>
      </c>
    </row>
    <row r="26" ht="15" customHeight="1" s="38">
      <c r="A26" s="57" t="n"/>
      <c r="B26" s="56" t="inlineStr">
        <is>
          <t>입장료 합계</t>
        </is>
      </c>
      <c r="C26" s="57" t="n"/>
      <c r="D26" s="57" t="n"/>
      <c r="E26" s="58">
        <f>SUM(E4:E25)</f>
        <v/>
      </c>
      <c r="F26" s="57" t="n"/>
    </row>
    <row r="27" ht="15" customHeight="1" s="38"/>
    <row r="28" ht="15" customHeight="1" s="38">
      <c r="A28" s="49" t="inlineStr">
        <is>
          <t>조지아·아르메니아 수도원은 대부분 무료입니다. 지출은 타테브 케이블카·아크로폴리스·루브르에 몰려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6" customWidth="1" style="37" min="2" max="2"/>
    <col width="30" customWidth="1" style="37" min="3" max="3"/>
    <col width="13" customWidth="1" style="37" min="4" max="4"/>
    <col width="11" customWidth="1" style="37" min="5" max="6"/>
    <col width="9" customWidth="1" style="37" min="7" max="7"/>
    <col width="12" customWidth="1" style="37" min="8" max="10"/>
    <col width="13" customWidth="1" style="37" min="11" max="11"/>
  </cols>
  <sheetData>
    <row r="1" ht="19.5" customHeight="1" s="38">
      <c r="A1" s="39" t="inlineStr">
        <is>
          <t>일자별 예산 (1인 기준, 원)</t>
        </is>
      </c>
    </row>
    <row r="2" ht="15" customHeight="1" s="38">
      <c r="A2" s="49" t="inlineStr">
        <is>
          <t>1인 단독 여행 기준. 택시·기사 비용은 나눌 사람이 없어 전액 부담으로 계산했습니다. 9/19 상하이 1박은 항공권과 별개인 실제 지출이라 일정에 포함했습니다.</t>
        </is>
      </c>
    </row>
    <row r="4" ht="15" customHeight="1" s="38">
      <c r="A4" s="59" t="inlineStr">
        <is>
          <t>날짜</t>
        </is>
      </c>
      <c r="B4" s="59" t="inlineStr">
        <is>
          <t>요일</t>
        </is>
      </c>
      <c r="C4" s="59" t="inlineStr">
        <is>
          <t>숙박지 / 주요 일정</t>
        </is>
      </c>
      <c r="D4" s="59" t="inlineStr">
        <is>
          <t>관광·입장비</t>
        </is>
      </c>
      <c r="E4" s="59" t="inlineStr">
        <is>
          <t>식비</t>
        </is>
      </c>
      <c r="F4" s="59" t="inlineStr">
        <is>
          <t>숙박비</t>
        </is>
      </c>
      <c r="G4" s="59" t="inlineStr">
        <is>
          <t>카페</t>
        </is>
      </c>
      <c r="H4" s="59" t="inlineStr">
        <is>
          <t>시외교통</t>
        </is>
      </c>
      <c r="I4" s="59" t="inlineStr">
        <is>
          <t>시내교통</t>
        </is>
      </c>
      <c r="J4" s="59" t="inlineStr">
        <is>
          <t>일계</t>
        </is>
      </c>
      <c r="K4" s="59" t="inlineStr">
        <is>
          <t>누계</t>
        </is>
      </c>
    </row>
    <row r="5" ht="15" customHeight="1" s="38">
      <c r="A5" s="60" t="inlineStr">
        <is>
          <t>9/19</t>
        </is>
      </c>
      <c r="B5" s="61" t="inlineStr">
        <is>
          <t>토</t>
        </is>
      </c>
      <c r="C5" s="61" t="inlineStr">
        <is>
          <t>상하이 — 예원·성황묘·와이탄 야경</t>
        </is>
      </c>
      <c r="D5" s="54">
        <f>SUMIF(입장료!$A$4:$A$25,A5,입장료!$E$4:$E$25)</f>
        <v/>
      </c>
      <c r="E5" s="54" t="n">
        <v>25000</v>
      </c>
      <c r="F5" s="62" t="n">
        <v>28907</v>
      </c>
      <c r="G5" s="54" t="n">
        <v>6000</v>
      </c>
      <c r="H5" s="54">
        <f>SUMIFS(교통상세!$G$5:$G$42,교통상세!$A$5:$A$42,A5,교통상세!$D$5:$D$42,"시외")</f>
        <v/>
      </c>
      <c r="I5" s="54">
        <f>SUMIFS(교통상세!$G$5:$G$42,교통상세!$A$5:$A$42,A5,교통상세!$D$5:$D$42,"시내")</f>
        <v/>
      </c>
      <c r="J5" s="48">
        <f>SUM(D5:I5)</f>
        <v/>
      </c>
      <c r="K5" s="62">
        <f>J5</f>
        <v/>
      </c>
    </row>
    <row r="6" ht="15" customHeight="1" s="38">
      <c r="A6" s="63" t="inlineStr">
        <is>
          <t>9/20</t>
        </is>
      </c>
      <c r="B6" s="64" t="inlineStr">
        <is>
          <t>일</t>
        </is>
      </c>
      <c r="C6" s="64" t="inlineStr">
        <is>
          <t>상하이 오전 → 트빌리시 19:00 도착</t>
        </is>
      </c>
      <c r="D6" s="54">
        <f>SUMIF(입장료!$A$4:$A$25,A6,입장료!$E$4:$E$25)</f>
        <v/>
      </c>
      <c r="E6" s="54" t="n">
        <v>20000</v>
      </c>
      <c r="F6" s="62" t="n">
        <v>15689</v>
      </c>
      <c r="G6" s="54" t="n">
        <v>0</v>
      </c>
      <c r="H6" s="54">
        <f>SUMIFS(교통상세!$G$5:$G$42,교통상세!$A$5:$A$42,A6,교통상세!$D$5:$D$42,"시외")</f>
        <v/>
      </c>
      <c r="I6" s="54">
        <f>SUMIFS(교통상세!$G$5:$G$42,교통상세!$A$5:$A$42,A6,교통상세!$D$5:$D$42,"시내")</f>
        <v/>
      </c>
      <c r="J6" s="48">
        <f>SUM(D6:I6)</f>
        <v/>
      </c>
      <c r="K6" s="62">
        <f>K5+J6</f>
        <v/>
      </c>
    </row>
    <row r="7" ht="15" customHeight="1" s="38">
      <c r="A7" s="63" t="inlineStr">
        <is>
          <t>9/21</t>
        </is>
      </c>
      <c r="B7" s="64" t="inlineStr">
        <is>
          <t>월</t>
        </is>
      </c>
      <c r="C7" s="64" t="inlineStr">
        <is>
          <t>트빌리시 — 구시가·유황온천</t>
        </is>
      </c>
      <c r="D7" s="54">
        <f>SUMIF(입장료!$A$4:$A$25,A7,입장료!$E$4:$E$25)</f>
        <v/>
      </c>
      <c r="E7" s="54" t="n">
        <v>25000</v>
      </c>
      <c r="F7" s="62" t="n">
        <v>15689</v>
      </c>
      <c r="G7" s="54" t="n">
        <v>6000</v>
      </c>
      <c r="H7" s="54">
        <f>SUMIFS(교통상세!$G$5:$G$42,교통상세!$A$5:$A$42,A7,교통상세!$D$5:$D$42,"시외")</f>
        <v/>
      </c>
      <c r="I7" s="54">
        <f>SUMIFS(교통상세!$G$5:$G$42,교통상세!$A$5:$A$42,A7,교통상세!$D$5:$D$42,"시내")</f>
        <v/>
      </c>
      <c r="J7" s="48">
        <f>SUM(D7:I7)</f>
        <v/>
      </c>
      <c r="K7" s="62">
        <f>K6+J7</f>
        <v/>
      </c>
    </row>
    <row r="8" ht="15" customHeight="1" s="38">
      <c r="A8" s="63" t="inlineStr">
        <is>
          <t>9/22</t>
        </is>
      </c>
      <c r="B8" s="64" t="inlineStr">
        <is>
          <t>화</t>
        </is>
      </c>
      <c r="C8" s="64" t="inlineStr">
        <is>
          <t>트빌리시 — 므츠헤타 반나절</t>
        </is>
      </c>
      <c r="D8" s="54">
        <f>SUMIF(입장료!$A$4:$A$25,A8,입장료!$E$4:$E$25)</f>
        <v/>
      </c>
      <c r="E8" s="54" t="n">
        <v>25000</v>
      </c>
      <c r="F8" s="62" t="n">
        <v>15689</v>
      </c>
      <c r="G8" s="54" t="n">
        <v>6000</v>
      </c>
      <c r="H8" s="54">
        <f>SUMIFS(교통상세!$G$5:$G$42,교통상세!$A$5:$A$42,A8,교통상세!$D$5:$D$42,"시외")</f>
        <v/>
      </c>
      <c r="I8" s="54">
        <f>SUMIFS(교통상세!$G$5:$G$42,교통상세!$A$5:$A$42,A8,교통상세!$D$5:$D$42,"시내")</f>
        <v/>
      </c>
      <c r="J8" s="48">
        <f>SUM(D8:I8)</f>
        <v/>
      </c>
      <c r="K8" s="62">
        <f>K7+J8</f>
        <v/>
      </c>
    </row>
    <row r="9" ht="15" customHeight="1" s="38">
      <c r="A9" s="63" t="inlineStr">
        <is>
          <t>9/23</t>
        </is>
      </c>
      <c r="B9" s="64" t="inlineStr">
        <is>
          <t>수</t>
        </is>
      </c>
      <c r="C9" s="64" t="inlineStr">
        <is>
          <t>카즈베기 — 군사도로 · 게르게티 (1박)</t>
        </is>
      </c>
      <c r="D9" s="54">
        <f>SUMIF(입장료!$A$4:$A$25,A9,입장료!$E$4:$E$25)</f>
        <v/>
      </c>
      <c r="E9" s="54" t="n">
        <v>25000</v>
      </c>
      <c r="F9" s="54" t="n">
        <v>28000</v>
      </c>
      <c r="G9" s="54" t="n">
        <v>5000</v>
      </c>
      <c r="H9" s="54">
        <f>SUMIFS(교통상세!$G$5:$G$42,교통상세!$A$5:$A$42,A9,교통상세!$D$5:$D$42,"시외")</f>
        <v/>
      </c>
      <c r="I9" s="54">
        <f>SUMIFS(교통상세!$G$5:$G$42,교통상세!$A$5:$A$42,A9,교통상세!$D$5:$D$42,"시내")</f>
        <v/>
      </c>
      <c r="J9" s="48">
        <f>SUM(D9:I9)</f>
        <v/>
      </c>
      <c r="K9" s="62">
        <f>K8+J9</f>
        <v/>
      </c>
    </row>
    <row r="10" ht="15" customHeight="1" s="38">
      <c r="A10" s="63" t="inlineStr">
        <is>
          <t>9/24</t>
        </is>
      </c>
      <c r="B10" s="64" t="inlineStr">
        <is>
          <t>목</t>
        </is>
      </c>
      <c r="C10" s="64" t="inlineStr">
        <is>
          <t>주타 데이 트레킹 → 트빌리시 복귀</t>
        </is>
      </c>
      <c r="D10" s="54">
        <f>SUMIF(입장료!$A$4:$A$25,A10,입장료!$E$4:$E$25)</f>
        <v/>
      </c>
      <c r="E10" s="54" t="n">
        <v>25000</v>
      </c>
      <c r="F10" s="54" t="n">
        <v>15689</v>
      </c>
      <c r="G10" s="54" t="n">
        <v>5000</v>
      </c>
      <c r="H10" s="54">
        <f>SUMIFS(교통상세!$G$5:$G$42,교통상세!$A$5:$A$42,A10,교통상세!$D$5:$D$42,"시외")</f>
        <v/>
      </c>
      <c r="I10" s="54">
        <f>SUMIFS(교통상세!$G$5:$G$42,교통상세!$A$5:$A$42,A10,교통상세!$D$5:$D$42,"시내")</f>
        <v/>
      </c>
      <c r="J10" s="48">
        <f>SUM(D10:I10)</f>
        <v/>
      </c>
      <c r="K10" s="62">
        <f>K9+J10</f>
        <v/>
      </c>
    </row>
    <row r="11" ht="15" customHeight="1" s="38">
      <c r="A11" s="63" t="inlineStr">
        <is>
          <t>9/25</t>
        </is>
      </c>
      <c r="B11" s="64" t="inlineStr">
        <is>
          <t>금</t>
        </is>
      </c>
      <c r="C11" s="64" t="inlineStr">
        <is>
          <t>시그나기 · 보드베 당일치기 (카헤티)</t>
        </is>
      </c>
      <c r="D11" s="54">
        <f>SUMIF(입장료!$A$4:$A$25,A11,입장료!$E$4:$E$25)</f>
        <v/>
      </c>
      <c r="E11" s="54" t="n">
        <v>25000</v>
      </c>
      <c r="F11" s="54" t="n">
        <v>15689</v>
      </c>
      <c r="G11" s="54" t="n">
        <v>5000</v>
      </c>
      <c r="H11" s="54">
        <f>SUMIFS(교통상세!$G$5:$G$42,교통상세!$A$5:$A$42,A11,교통상세!$D$5:$D$42,"시외")</f>
        <v/>
      </c>
      <c r="I11" s="54">
        <f>SUMIFS(교통상세!$G$5:$G$42,교통상세!$A$5:$A$42,A11,교통상세!$D$5:$D$42,"시내")</f>
        <v/>
      </c>
      <c r="J11" s="48">
        <f>SUM(D11:I11)</f>
        <v/>
      </c>
      <c r="K11" s="62">
        <f>K10+J11</f>
        <v/>
      </c>
    </row>
    <row r="12" ht="15" customHeight="1" s="38">
      <c r="A12" s="65" t="inlineStr">
        <is>
          <t>9/26</t>
        </is>
      </c>
      <c r="B12" s="66" t="inlineStr">
        <is>
          <t>토</t>
        </is>
      </c>
      <c r="C12" s="66" t="inlineStr">
        <is>
          <t>알라베르디 — 하흐파트·사나힌</t>
        </is>
      </c>
      <c r="D12" s="54">
        <f>SUMIF(입장료!$A$4:$A$25,A12,입장료!$E$4:$E$25)</f>
        <v/>
      </c>
      <c r="E12" s="54" t="n">
        <v>25000</v>
      </c>
      <c r="F12" s="54" t="n">
        <v>25000</v>
      </c>
      <c r="G12" s="54" t="n">
        <v>5000</v>
      </c>
      <c r="H12" s="54">
        <f>SUMIFS(교통상세!$G$5:$G$42,교통상세!$A$5:$A$42,A12,교통상세!$D$5:$D$42,"시외")</f>
        <v/>
      </c>
      <c r="I12" s="54">
        <f>SUMIFS(교통상세!$G$5:$G$42,교통상세!$A$5:$A$42,A12,교통상세!$D$5:$D$42,"시내")</f>
        <v/>
      </c>
      <c r="J12" s="48">
        <f>SUM(D12:I12)</f>
        <v/>
      </c>
      <c r="K12" s="62">
        <f>K11+J12</f>
        <v/>
      </c>
    </row>
    <row r="13" ht="15" customHeight="1" s="38">
      <c r="A13" s="65" t="inlineStr">
        <is>
          <t>9/27</t>
        </is>
      </c>
      <c r="B13" s="66" t="inlineStr">
        <is>
          <t>일</t>
        </is>
      </c>
      <c r="C13" s="66" t="inlineStr">
        <is>
          <t>예레반 — 베르니사쥬·캐스케이드</t>
        </is>
      </c>
      <c r="D13" s="54">
        <f>SUMIF(입장료!$A$4:$A$25,A13,입장료!$E$4:$E$25)</f>
        <v/>
      </c>
      <c r="E13" s="54" t="n">
        <v>27000</v>
      </c>
      <c r="F13" s="54" t="n">
        <v>20000</v>
      </c>
      <c r="G13" s="54" t="n">
        <v>5000</v>
      </c>
      <c r="H13" s="54">
        <f>SUMIFS(교통상세!$G$5:$G$42,교통상세!$A$5:$A$42,A13,교통상세!$D$5:$D$42,"시외")</f>
        <v/>
      </c>
      <c r="I13" s="54">
        <f>SUMIFS(교통상세!$G$5:$G$42,교통상세!$A$5:$A$42,A13,교통상세!$D$5:$D$42,"시내")</f>
        <v/>
      </c>
      <c r="J13" s="48">
        <f>SUM(D13:I13)</f>
        <v/>
      </c>
      <c r="K13" s="62">
        <f>K12+J13</f>
        <v/>
      </c>
    </row>
    <row r="14" ht="15" customHeight="1" s="38">
      <c r="A14" s="65" t="inlineStr">
        <is>
          <t>9/28</t>
        </is>
      </c>
      <c r="B14" s="66" t="inlineStr">
        <is>
          <t>월</t>
        </is>
      </c>
      <c r="C14" s="66" t="inlineStr">
        <is>
          <t>예레반 — 가르니·게하르트</t>
        </is>
      </c>
      <c r="D14" s="54">
        <f>SUMIF(입장료!$A$4:$A$25,A14,입장료!$E$4:$E$25)</f>
        <v/>
      </c>
      <c r="E14" s="54" t="n">
        <v>30000</v>
      </c>
      <c r="F14" s="54" t="n">
        <v>20000</v>
      </c>
      <c r="G14" s="54" t="n">
        <v>6000</v>
      </c>
      <c r="H14" s="54">
        <f>SUMIFS(교통상세!$G$5:$G$42,교통상세!$A$5:$A$42,A14,교통상세!$D$5:$D$42,"시외")</f>
        <v/>
      </c>
      <c r="I14" s="54">
        <f>SUMIFS(교통상세!$G$5:$G$42,교통상세!$A$5:$A$42,A14,교통상세!$D$5:$D$42,"시내")</f>
        <v/>
      </c>
      <c r="J14" s="48">
        <f>SUM(D14:I14)</f>
        <v/>
      </c>
      <c r="K14" s="62">
        <f>K13+J14</f>
        <v/>
      </c>
    </row>
    <row r="15" ht="15" customHeight="1" s="38">
      <c r="A15" s="65" t="inlineStr">
        <is>
          <t>9/29</t>
        </is>
      </c>
      <c r="B15" s="66" t="inlineStr">
        <is>
          <t>화</t>
        </is>
      </c>
      <c r="C15" s="66" t="inlineStr">
        <is>
          <t>예레반 — 에치미아진·코르 비랍</t>
        </is>
      </c>
      <c r="D15" s="54">
        <f>SUMIF(입장료!$A$4:$A$25,A15,입장료!$E$4:$E$25)</f>
        <v/>
      </c>
      <c r="E15" s="54" t="n">
        <v>30000</v>
      </c>
      <c r="F15" s="54" t="n">
        <v>20000</v>
      </c>
      <c r="G15" s="54" t="n">
        <v>6000</v>
      </c>
      <c r="H15" s="54">
        <f>SUMIFS(교통상세!$G$5:$G$42,교통상세!$A$5:$A$42,A15,교통상세!$D$5:$D$42,"시외")</f>
        <v/>
      </c>
      <c r="I15" s="54">
        <f>SUMIFS(교통상세!$G$5:$G$42,교통상세!$A$5:$A$42,A15,교통상세!$D$5:$D$42,"시내")</f>
        <v/>
      </c>
      <c r="J15" s="48">
        <f>SUM(D15:I15)</f>
        <v/>
      </c>
      <c r="K15" s="62">
        <f>K14+J15</f>
        <v/>
      </c>
    </row>
    <row r="16" ht="15" customHeight="1" s="38">
      <c r="A16" s="65" t="inlineStr">
        <is>
          <t>9/30</t>
        </is>
      </c>
      <c r="B16" s="66" t="inlineStr">
        <is>
          <t>수</t>
        </is>
      </c>
      <c r="C16" s="66" t="inlineStr">
        <is>
          <t>고리스 — 노라방크</t>
        </is>
      </c>
      <c r="D16" s="54">
        <f>SUMIF(입장료!$A$4:$A$25,A16,입장료!$E$4:$E$25)</f>
        <v/>
      </c>
      <c r="E16" s="54" t="n">
        <v>30000</v>
      </c>
      <c r="F16" s="54" t="n">
        <v>25000</v>
      </c>
      <c r="G16" s="54" t="n">
        <v>5000</v>
      </c>
      <c r="H16" s="54">
        <f>SUMIFS(교통상세!$G$5:$G$42,교통상세!$A$5:$A$42,A16,교통상세!$D$5:$D$42,"시외")</f>
        <v/>
      </c>
      <c r="I16" s="54">
        <f>SUMIFS(교통상세!$G$5:$G$42,교통상세!$A$5:$A$42,A16,교통상세!$D$5:$D$42,"시내")</f>
        <v/>
      </c>
      <c r="J16" s="48">
        <f>SUM(D16:I16)</f>
        <v/>
      </c>
      <c r="K16" s="62">
        <f>K15+J16</f>
        <v/>
      </c>
    </row>
    <row r="17" ht="15" customHeight="1" s="38">
      <c r="A17" s="65" t="inlineStr">
        <is>
          <t>10/1</t>
        </is>
      </c>
      <c r="B17" s="66" t="inlineStr">
        <is>
          <t>목</t>
        </is>
      </c>
      <c r="C17" s="66" t="inlineStr">
        <is>
          <t>예레반 복귀 — 타테브</t>
        </is>
      </c>
      <c r="D17" s="54">
        <f>SUMIF(입장료!$A$4:$A$25,A17,입장료!$E$4:$E$25)</f>
        <v/>
      </c>
      <c r="E17" s="54" t="n">
        <v>30000</v>
      </c>
      <c r="F17" s="54" t="n">
        <v>20000</v>
      </c>
      <c r="G17" s="54" t="n">
        <v>5000</v>
      </c>
      <c r="H17" s="54">
        <f>SUMIFS(교통상세!$G$5:$G$42,교통상세!$A$5:$A$42,A17,교통상세!$D$5:$D$42,"시외")</f>
        <v/>
      </c>
      <c r="I17" s="54">
        <f>SUMIFS(교통상세!$G$5:$G$42,교통상세!$A$5:$A$42,A17,교통상세!$D$5:$D$42,"시내")</f>
        <v/>
      </c>
      <c r="J17" s="48">
        <f>SUM(D17:I17)</f>
        <v/>
      </c>
      <c r="K17" s="62">
        <f>K16+J17</f>
        <v/>
      </c>
    </row>
    <row r="18" ht="15" customHeight="1" s="38">
      <c r="A18" s="65" t="inlineStr">
        <is>
          <t>10/2</t>
        </is>
      </c>
      <c r="B18" s="66" t="inlineStr">
        <is>
          <t>금</t>
        </is>
      </c>
      <c r="C18" s="66" t="inlineStr">
        <is>
          <t>예레반 — 세반 호수 당일치기</t>
        </is>
      </c>
      <c r="D18" s="54">
        <f>SUMIF(입장료!$A$4:$A$25,A18,입장료!$E$4:$E$25)</f>
        <v/>
      </c>
      <c r="E18" s="54" t="n">
        <v>27000</v>
      </c>
      <c r="F18" s="54" t="n">
        <v>20000</v>
      </c>
      <c r="G18" s="54" t="n">
        <v>6000</v>
      </c>
      <c r="H18" s="54">
        <f>SUMIFS(교통상세!$G$5:$G$42,교통상세!$A$5:$A$42,A18,교통상세!$D$5:$D$42,"시외")</f>
        <v/>
      </c>
      <c r="I18" s="54">
        <f>SUMIFS(교통상세!$G$5:$G$42,교통상세!$A$5:$A$42,A18,교통상세!$D$5:$D$42,"시내")</f>
        <v/>
      </c>
      <c r="J18" s="48">
        <f>SUM(D18:I18)</f>
        <v/>
      </c>
      <c r="K18" s="62">
        <f>K17+J18</f>
        <v/>
      </c>
    </row>
    <row r="19" ht="15" customHeight="1" s="38">
      <c r="A19" s="67" t="inlineStr">
        <is>
          <t>10/3</t>
        </is>
      </c>
      <c r="B19" s="68" t="inlineStr">
        <is>
          <t>토</t>
        </is>
      </c>
      <c r="C19" s="68" t="inlineStr">
        <is>
          <t>아테네 — 종일 관광 (숙소 30유로 확정)</t>
        </is>
      </c>
      <c r="D19" s="54">
        <f>SUMIF(입장료!$A$4:$A$25,A19,입장료!$E$4:$E$25)</f>
        <v/>
      </c>
      <c r="E19" s="54" t="n">
        <v>45000</v>
      </c>
      <c r="F19" s="54" t="n">
        <v>49200</v>
      </c>
      <c r="G19" s="54" t="n">
        <v>8000</v>
      </c>
      <c r="H19" s="54">
        <f>SUMIFS(교통상세!$G$5:$G$42,교통상세!$A$5:$A$42,A19,교통상세!$D$5:$D$42,"시외")</f>
        <v/>
      </c>
      <c r="I19" s="54">
        <f>SUMIFS(교통상세!$G$5:$G$42,교통상세!$A$5:$A$42,A19,교통상세!$D$5:$D$42,"시내")</f>
        <v/>
      </c>
      <c r="J19" s="48">
        <f>SUM(D19:I19)</f>
        <v/>
      </c>
      <c r="K19" s="62">
        <f>K18+J19</f>
        <v/>
      </c>
    </row>
    <row r="20" ht="15" customHeight="1" s="38">
      <c r="A20" s="69" t="inlineStr">
        <is>
          <t>10/4</t>
        </is>
      </c>
      <c r="B20" s="70" t="inlineStr">
        <is>
          <t>일</t>
        </is>
      </c>
      <c r="C20" s="70" t="inlineStr">
        <is>
          <t>아부다비 — 루브르·그랜드 모스크 (TRYP, 숙박 항공권 포함)</t>
        </is>
      </c>
      <c r="D20" s="54">
        <f>SUMIF(입장료!$A$4:$A$25,A20,입장료!$E$4:$E$25)</f>
        <v/>
      </c>
      <c r="E20" s="54" t="n">
        <v>55000</v>
      </c>
      <c r="F20" s="54" t="n">
        <v>0</v>
      </c>
      <c r="G20" s="54" t="n">
        <v>8000</v>
      </c>
      <c r="H20" s="54">
        <f>SUMIFS(교통상세!$G$5:$G$42,교통상세!$A$5:$A$42,A20,교통상세!$D$5:$D$42,"시외")</f>
        <v/>
      </c>
      <c r="I20" s="54">
        <f>SUMIFS(교통상세!$G$5:$G$42,교통상세!$A$5:$A$42,A20,교통상세!$D$5:$D$42,"시내")</f>
        <v/>
      </c>
      <c r="J20" s="48">
        <f>SUM(D20:I20)</f>
        <v/>
      </c>
      <c r="K20" s="62">
        <f>K19+J20</f>
        <v/>
      </c>
    </row>
    <row r="21" ht="15" customHeight="1" s="38">
      <c r="A21" s="69" t="inlineStr">
        <is>
          <t>10/5</t>
        </is>
      </c>
      <c r="B21" s="70" t="inlineStr">
        <is>
          <t>월</t>
        </is>
      </c>
      <c r="C21" s="70" t="inlineStr">
        <is>
          <t>아부다비 → 인천 (08:35 출발) · 새벽 A2 버스</t>
        </is>
      </c>
      <c r="D21" s="54">
        <f>SUMIF(입장료!$A$4:$A$25,A21,입장료!$E$4:$E$25)</f>
        <v/>
      </c>
      <c r="E21" s="54" t="n">
        <v>15000</v>
      </c>
      <c r="F21" s="54" t="n">
        <v>0</v>
      </c>
      <c r="G21" s="54" t="n">
        <v>0</v>
      </c>
      <c r="H21" s="54">
        <f>SUMIFS(교통상세!$G$5:$G$42,교통상세!$A$5:$A$42,A21,교통상세!$D$5:$D$42,"시외")</f>
        <v/>
      </c>
      <c r="I21" s="54">
        <f>SUMIFS(교통상세!$G$5:$G$42,교통상세!$A$5:$A$42,A21,교통상세!$D$5:$D$42,"시내")</f>
        <v/>
      </c>
      <c r="J21" s="48">
        <f>SUM(D21:I21)</f>
        <v/>
      </c>
      <c r="K21" s="62">
        <f>K20+J21</f>
        <v/>
      </c>
    </row>
    <row r="22" ht="15" customHeight="1" s="38">
      <c r="A22" s="56" t="inlineStr">
        <is>
          <t>합계</t>
        </is>
      </c>
      <c r="B22" s="57" t="n"/>
      <c r="C22" s="57" t="n"/>
      <c r="D22" s="58">
        <f>SUM(D5:D21)</f>
        <v/>
      </c>
      <c r="E22" s="58">
        <f>SUM(E5:E21)</f>
        <v/>
      </c>
      <c r="F22" s="58">
        <f>SUM(F5:F21)</f>
        <v/>
      </c>
      <c r="G22" s="58">
        <f>SUM(G5:G21)</f>
        <v/>
      </c>
      <c r="H22" s="58">
        <f>SUM(H5:H21)</f>
        <v/>
      </c>
      <c r="I22" s="58">
        <f>SUM(I5:I21)</f>
        <v/>
      </c>
      <c r="J22" s="58">
        <f>SUM(J5:J21)</f>
        <v/>
      </c>
      <c r="K22" s="71" t="n"/>
    </row>
    <row r="23" ht="15.75" customHeight="1" s="38"/>
    <row r="24" ht="15" customHeight="1" s="38">
      <c r="A24" s="39" t="inlineStr">
        <is>
          <t>총예산 점검</t>
        </is>
      </c>
    </row>
    <row r="25" ht="15" customHeight="1" s="38">
      <c r="A25" s="41" t="inlineStr">
        <is>
          <t>현지 지출 합계</t>
        </is>
      </c>
      <c r="B25" s="48">
        <f>J22</f>
        <v/>
      </c>
    </row>
    <row r="26" ht="15" customHeight="1" s="38">
      <c r="A26" s="41" t="inlineStr">
        <is>
          <t>항공권</t>
        </is>
      </c>
      <c r="B26" s="72">
        <f>환율!B13</f>
        <v/>
      </c>
    </row>
    <row r="27" ht="15" customHeight="1" s="38">
      <c r="A27" s="73" t="inlineStr">
        <is>
          <t>소계</t>
        </is>
      </c>
      <c r="B27" s="48">
        <f>B25+B26</f>
        <v/>
      </c>
    </row>
    <row r="28" ht="15" customHeight="1" s="38">
      <c r="A28" s="41" t="inlineStr">
        <is>
          <t>총예산 (1인)</t>
        </is>
      </c>
      <c r="B28" s="72">
        <f>환율!B14</f>
        <v/>
      </c>
    </row>
    <row r="29" ht="15" customHeight="1" s="38">
      <c r="A29" s="73" t="inlineStr">
        <is>
          <t>잔여 여유분</t>
        </is>
      </c>
      <c r="B29" s="48">
        <f>B28-B27</f>
        <v/>
      </c>
    </row>
    <row r="30" ht="15" customHeight="1" s="38"/>
    <row r="31" ht="15" customHeight="1" s="38">
      <c r="A31" s="49" t="inlineStr">
        <is>
          <t>※ 여행자보험·유심(중국은 로밍 권장 / 조지아·아르메니아·그리스·UAE 각각)·기념품·와인 구매 등은 별도 고려하세요.</t>
        </is>
      </c>
    </row>
    <row r="32" ht="15" customHeight="1" s="38">
      <c r="A32" s="49" t="inlineStr">
        <is>
          <t>※ 확정 숙소 — 상하이 Hi Cozy International Youth Hostel 137위안/1박(황푸구, 난징둥루역 도보권), 트빌리시 Cosy Koala Hostel 58라리/2박. 트빌리시는 9/22·9/25 두 밤이 추가로 필요합니다.</t>
        </is>
      </c>
    </row>
    <row r="33" ht="16.5" customHeight="1" s="38">
      <c r="A33" s="50" t="inlineStr">
        <is>
          <t>※ 미예약 숙소(카즈베기·알라베르디·딜리잔·예레반·고리스)는 도미토리 기준 추정치입니다. 개인실을 잡으면 1인 여행이라 이 금액의 두 배 가까이 올라갑니다.</t>
        </is>
      </c>
    </row>
    <row r="34">
      <c r="A34" s="37" t="inlineStr">
        <is>
          <t>※ 아테네 숙소는 30유로/1박 확정 — 신타그마 근처. 원래 잡아둔 90,000원에서 40,800원 줄었습니다. 08:00 짐 보관이 가능한 곳이어야 합니다(아크로폴리스 큰 가방 반입 불가).</t>
        </is>
      </c>
    </row>
    <row r="35">
      <c r="A35" s="37" t="inlineStr">
        <is>
          <t>※ 아부다비 숙소는 TRYP by Wyndham Abu Dhabi City Center(칼리파 bin 자이드 St) — 항공권 스톱오버에 포함되어 숙박비 0원. A2 공항버스가 이 도로에 정차합니다.</t>
        </is>
      </c>
    </row>
    <row r="36">
      <c r="A36" t="inlineStr">
        <is>
          <t>※ 9/24 주타는 대중교통이 없어 4WD 택시 왕복 80라리(1인 전액)입니다. 카즈베기 게스트하우스에서 동행을 구하면 40라리로 줄어듭니다.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2026-08-06T16:18:53Z</dcterms:created>
  <dcterms:modified xmlns:dcterms="http://purl.org/dc/terms/" xmlns:xsi="http://www.w3.org/2001/XMLSchema-instance" xsi:type="dcterms:W3CDTF">2026-08-11T16:15:02Z</dcterms:modified>
  <cp:revision>0</cp:revision>
</cp:coreProperties>
</file>