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환율" sheetId="1" state="visible" r:id="rId3"/>
    <sheet name="교통상세" sheetId="2" state="visible" r:id="rId4"/>
    <sheet name="입장료" sheetId="3" state="visible" r:id="rId5"/>
    <sheet name="일자별예산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<sst xmlns="http://schemas.openxmlformats.org/spreadsheetml/2006/main" count="483" uniqueCount="251">
  <si>
    <t xml:space="preserve">환율 및 기본 가정</t>
  </si>
  <si>
    <t xml:space="preserve">항목</t>
  </si>
  <si>
    <t xml:space="preserve">값</t>
  </si>
  <si>
    <t xml:space="preserve">비고</t>
  </si>
  <si>
    <t xml:space="preserve">조지아 라리 (GEL) → 원</t>
  </si>
  <si>
    <r>
      <rPr>
        <i val="true"/>
        <sz val="9"/>
        <color rgb="FF595959"/>
        <rFont val="Arial"/>
        <family val="0"/>
        <charset val="1"/>
      </rPr>
      <t xml:space="preserve">2026</t>
    </r>
    <r>
      <rPr>
        <i val="true"/>
        <sz val="9"/>
        <color rgb="FF595959"/>
        <rFont val="Noto Sans CJK SC"/>
        <family val="2"/>
      </rPr>
      <t xml:space="preserve">년 </t>
    </r>
    <r>
      <rPr>
        <i val="true"/>
        <sz val="9"/>
        <color rgb="FF595959"/>
        <rFont val="Arial"/>
        <family val="0"/>
        <charset val="1"/>
      </rPr>
      <t xml:space="preserve">8</t>
    </r>
    <r>
      <rPr>
        <i val="true"/>
        <sz val="9"/>
        <color rgb="FF595959"/>
        <rFont val="Noto Sans CJK SC"/>
        <family val="2"/>
      </rPr>
      <t xml:space="preserve">월 </t>
    </r>
    <r>
      <rPr>
        <i val="true"/>
        <sz val="9"/>
        <color rgb="FF595959"/>
        <rFont val="Arial"/>
        <family val="0"/>
        <charset val="1"/>
      </rPr>
      <t xml:space="preserve">6</t>
    </r>
    <r>
      <rPr>
        <i val="true"/>
        <sz val="9"/>
        <color rgb="FF595959"/>
        <rFont val="Noto Sans CJK SC"/>
        <family val="2"/>
      </rPr>
      <t xml:space="preserve">일 조지아</t>
    </r>
    <r>
      <rPr>
        <i val="true"/>
        <sz val="9"/>
        <color rgb="FF595959"/>
        <rFont val="Arial"/>
        <family val="0"/>
        <charset val="1"/>
      </rPr>
      <t xml:space="preserve">·</t>
    </r>
    <r>
      <rPr>
        <i val="true"/>
        <sz val="9"/>
        <color rgb="FF595959"/>
        <rFont val="Noto Sans CJK SC"/>
        <family val="2"/>
      </rPr>
      <t xml:space="preserve">아르메니아 중앙은행 공시 기준 </t>
    </r>
    <r>
      <rPr>
        <i val="true"/>
        <sz val="9"/>
        <color rgb="FF595959"/>
        <rFont val="Arial"/>
        <family val="0"/>
        <charset val="1"/>
      </rPr>
      <t xml:space="preserve">(USD/KRW 1,420 </t>
    </r>
    <r>
      <rPr>
        <i val="true"/>
        <sz val="9"/>
        <color rgb="FF595959"/>
        <rFont val="Noto Sans CJK SC"/>
        <family val="2"/>
      </rPr>
      <t xml:space="preserve">교차 산출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</si>
  <si>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아르메니아 드람 (AMD) → 원</t>
  </si>
  <si>
    <t xml:space="preserve">유로 (EUR) → 원</t>
  </si>
  <si>
    <r>
      <rPr>
        <i val="true"/>
        <sz val="9"/>
        <color rgb="FF595959"/>
        <rFont val="Arial"/>
        <family val="0"/>
        <charset val="1"/>
      </rPr>
      <t xml:space="preserve">2026</t>
    </r>
    <r>
      <rPr>
        <i val="true"/>
        <sz val="9"/>
        <color rgb="FF595959"/>
        <rFont val="Noto Sans CJK SC"/>
        <family val="2"/>
      </rPr>
      <t xml:space="preserve">년 </t>
    </r>
    <r>
      <rPr>
        <i val="true"/>
        <sz val="9"/>
        <color rgb="FF595959"/>
        <rFont val="Arial"/>
        <family val="0"/>
        <charset val="1"/>
      </rPr>
      <t xml:space="preserve">8</t>
    </r>
    <r>
      <rPr>
        <i val="true"/>
        <sz val="9"/>
        <color rgb="FF595959"/>
        <rFont val="Noto Sans CJK SC"/>
        <family val="2"/>
      </rPr>
      <t xml:space="preserve">월 </t>
    </r>
    <r>
      <rPr>
        <i val="true"/>
        <sz val="9"/>
        <color rgb="FF595959"/>
        <rFont val="Arial"/>
        <family val="0"/>
        <charset val="1"/>
      </rPr>
      <t xml:space="preserve">6</t>
    </r>
    <r>
      <rPr>
        <i val="true"/>
        <sz val="9"/>
        <color rgb="FF595959"/>
        <rFont val="Noto Sans CJK SC"/>
        <family val="2"/>
      </rPr>
      <t xml:space="preserve">일 시장환율 — 아테네 구간</t>
    </r>
  </si>
  <si>
    <r>
      <rPr>
        <sz val="10"/>
        <rFont val="Arial"/>
        <family val="0"/>
        <charset val="1"/>
      </rPr>
      <t xml:space="preserve">UAE </t>
    </r>
    <r>
      <rPr>
        <sz val="10"/>
        <rFont val="Noto Sans CJK SC"/>
        <family val="2"/>
      </rPr>
      <t xml:space="preserve">디르함 </t>
    </r>
    <r>
      <rPr>
        <sz val="10"/>
        <rFont val="Arial"/>
        <family val="0"/>
        <charset val="1"/>
      </rPr>
      <t xml:space="preserve">(AED) → </t>
    </r>
    <r>
      <rPr>
        <sz val="10"/>
        <rFont val="Noto Sans CJK SC"/>
        <family val="2"/>
      </rPr>
      <t xml:space="preserve">원</t>
    </r>
  </si>
  <si>
    <r>
      <rPr>
        <i val="true"/>
        <sz val="9"/>
        <color rgb="FF595959"/>
        <rFont val="Arial"/>
        <family val="0"/>
        <charset val="1"/>
      </rPr>
      <t xml:space="preserve">2026</t>
    </r>
    <r>
      <rPr>
        <i val="true"/>
        <sz val="9"/>
        <color rgb="FF595959"/>
        <rFont val="Noto Sans CJK SC"/>
        <family val="2"/>
      </rPr>
      <t xml:space="preserve">년 </t>
    </r>
    <r>
      <rPr>
        <i val="true"/>
        <sz val="9"/>
        <color rgb="FF595959"/>
        <rFont val="Arial"/>
        <family val="0"/>
        <charset val="1"/>
      </rPr>
      <t xml:space="preserve">8</t>
    </r>
    <r>
      <rPr>
        <i val="true"/>
        <sz val="9"/>
        <color rgb="FF595959"/>
        <rFont val="Noto Sans CJK SC"/>
        <family val="2"/>
      </rPr>
      <t xml:space="preserve">월 </t>
    </r>
    <r>
      <rPr>
        <i val="true"/>
        <sz val="9"/>
        <color rgb="FF595959"/>
        <rFont val="Arial"/>
        <family val="0"/>
        <charset val="1"/>
      </rPr>
      <t xml:space="preserve">6</t>
    </r>
    <r>
      <rPr>
        <i val="true"/>
        <sz val="9"/>
        <color rgb="FF595959"/>
        <rFont val="Noto Sans CJK SC"/>
        <family val="2"/>
      </rPr>
      <t xml:space="preserve">일 시장환율 </t>
    </r>
    <r>
      <rPr>
        <i val="true"/>
        <sz val="9"/>
        <color rgb="FF595959"/>
        <rFont val="Arial"/>
        <family val="0"/>
        <charset val="1"/>
      </rPr>
      <t xml:space="preserve">(USD </t>
    </r>
    <r>
      <rPr>
        <i val="true"/>
        <sz val="9"/>
        <color rgb="FF595959"/>
        <rFont val="Noto Sans CJK SC"/>
        <family val="2"/>
      </rPr>
      <t xml:space="preserve">페그 </t>
    </r>
    <r>
      <rPr>
        <i val="true"/>
        <sz val="9"/>
        <color rgb="FF595959"/>
        <rFont val="Arial"/>
        <family val="0"/>
        <charset val="1"/>
      </rPr>
      <t xml:space="preserve">3.6725) — </t>
    </r>
    <r>
      <rPr>
        <i val="true"/>
        <sz val="9"/>
        <color rgb="FF595959"/>
        <rFont val="Noto Sans CJK SC"/>
        <family val="2"/>
      </rPr>
      <t xml:space="preserve">아부다비 구간</t>
    </r>
  </si>
  <si>
    <t xml:space="preserve">중국 위안 (CNY) → 원</t>
  </si>
  <si>
    <r>
      <rPr>
        <i val="true"/>
        <sz val="9"/>
        <color rgb="FF595959"/>
        <rFont val="Arial"/>
        <family val="0"/>
        <charset val="1"/>
      </rPr>
      <t xml:space="preserve">2026</t>
    </r>
    <r>
      <rPr>
        <i val="true"/>
        <sz val="9"/>
        <color rgb="FF595959"/>
        <rFont val="Noto Sans CJK SC"/>
        <family val="2"/>
      </rPr>
      <t xml:space="preserve">년 </t>
    </r>
    <r>
      <rPr>
        <i val="true"/>
        <sz val="9"/>
        <color rgb="FF595959"/>
        <rFont val="Arial"/>
        <family val="0"/>
        <charset val="1"/>
      </rPr>
      <t xml:space="preserve">8</t>
    </r>
    <r>
      <rPr>
        <i val="true"/>
        <sz val="9"/>
        <color rgb="FF595959"/>
        <rFont val="Noto Sans CJK SC"/>
        <family val="2"/>
      </rPr>
      <t xml:space="preserve">월 </t>
    </r>
    <r>
      <rPr>
        <i val="true"/>
        <sz val="9"/>
        <color rgb="FF595959"/>
        <rFont val="Arial"/>
        <family val="0"/>
        <charset val="1"/>
      </rPr>
      <t xml:space="preserve">6</t>
    </r>
    <r>
      <rPr>
        <i val="true"/>
        <sz val="9"/>
        <color rgb="FF595959"/>
        <rFont val="Noto Sans CJK SC"/>
        <family val="2"/>
      </rPr>
      <t xml:space="preserve">일 시장환율 — 상하이 경유 구간</t>
    </r>
  </si>
  <si>
    <t xml:space="preserve">인원</t>
  </si>
  <si>
    <t xml:space="preserve">1인 여행 — 택시·기사 비용을 나눌 사람이 없어 전액 부담</t>
  </si>
  <si>
    <t xml:space="preserve">항공권1 — 김포→상하이 + 푸동→트빌리시 (별도 발권 2편)</t>
  </si>
  <si>
    <t xml:space="preserve">결제 완료 — 원화 확정. 김포→상하이 + 푸동→트빌리시 2편 합산</t>
  </si>
  <si>
    <t xml:space="preserve">항공권2 — 예레반→아테네</t>
  </si>
  <si>
    <t xml:space="preserve">결제 완료 — 원화 확정</t>
  </si>
  <si>
    <t xml:space="preserve">항공권3 — 아테네→아부다비→인천 (아부다비 1박 포함)</t>
  </si>
  <si>
    <t xml:space="preserve">결제 완료 — 원화 확정. 환율이 바뀌어도 이 금액은 그대로</t>
  </si>
  <si>
    <t xml:space="preserve">항공권 합계</t>
  </si>
  <si>
    <r>
      <rPr>
        <i val="true"/>
        <sz val="9"/>
        <color rgb="FF595959"/>
        <rFont val="Arial"/>
        <family val="0"/>
        <charset val="1"/>
      </rPr>
      <t xml:space="preserve">3</t>
    </r>
    <r>
      <rPr>
        <i val="true"/>
        <sz val="9"/>
        <color rgb="FF595959"/>
        <rFont val="Noto Sans CJK SC"/>
        <family val="2"/>
      </rPr>
      <t xml:space="preserve">편 모두 결제 완료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Noto Sans CJK SC"/>
        <family val="2"/>
      </rPr>
      <t xml:space="preserve">이후 환율 변동은 현지 지출에만 영향</t>
    </r>
  </si>
  <si>
    <t xml:space="preserve">총예산 (1인)</t>
  </si>
  <si>
    <t xml:space="preserve">사용자 제시: 300만원</t>
  </si>
  <si>
    <t xml:space="preserve">노란 셀만 수정하세요. 나머지 시트는 이 값을 참조해 자동 계산됩니다.</t>
  </si>
  <si>
    <t xml:space="preserve">환율은 현지 지출에만 적용됩니다 (항공권은 결제 완료로 원화 확정). 전 통화 2026년 8월 6일 기준 — 출발 직전에 한 번 더 갱신하세요.</t>
  </si>
  <si>
    <t xml:space="preserve">여행 직전 실제 환율로 한 번 더 갱신하는 것을 권장합니다 — 환율은 매일 바뀝니다.</t>
  </si>
  <si>
    <t xml:space="preserve">구간별 교통 — 대중교통 우선</t>
  </si>
  <si>
    <t xml:space="preserve">‘대중교통’ 열이 ○ 이면 마르슈르트카·버스·지하철로 갈 수 있는 구간, △ 는 부분적, ✕ 는 택시가 사실상 필수인 구간입니다. 택시 요금은 환율 시트의 인원(현재 1명)으로 나눈 1인 부담액입니다.</t>
  </si>
  <si>
    <t xml:space="preserve">날짜</t>
  </si>
  <si>
    <t xml:space="preserve">구간</t>
  </si>
  <si>
    <t xml:space="preserve">수단</t>
  </si>
  <si>
    <t xml:space="preserve">구분</t>
  </si>
  <si>
    <t xml:space="preserve">현지 금액</t>
  </si>
  <si>
    <t xml:space="preserve">통화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</si>
  <si>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인 원화</t>
    </r>
  </si>
  <si>
    <t xml:space="preserve">대중교통</t>
  </si>
  <si>
    <t xml:space="preserve">9/19</t>
  </si>
  <si>
    <t xml:space="preserve">훙차오 공항 T1 → 난징둥루</t>
  </si>
  <si>
    <t xml:space="preserve">지하철 10호선</t>
  </si>
  <si>
    <t xml:space="preserve">시내</t>
  </si>
  <si>
    <t xml:space="preserve">CNY</t>
  </si>
  <si>
    <t xml:space="preserve">○</t>
  </si>
  <si>
    <t xml:space="preserve">환승 없이 직통, 약 45분</t>
  </si>
  <si>
    <t xml:space="preserve">상하이 시내 이동 (예원·와이탄)</t>
  </si>
  <si>
    <t xml:space="preserve">지하철 10호선 · 도보</t>
  </si>
  <si>
    <r>
      <rPr>
        <i val="true"/>
        <sz val="9"/>
        <color rgb="FF595959"/>
        <rFont val="Arial"/>
        <family val="0"/>
        <charset val="1"/>
      </rPr>
      <t xml:space="preserve">1</t>
    </r>
    <r>
      <rPr>
        <i val="true"/>
        <sz val="9"/>
        <color rgb="FF595959"/>
        <rFont val="Noto Sans CJK SC"/>
        <family val="2"/>
      </rPr>
      <t xml:space="preserve">회 </t>
    </r>
    <r>
      <rPr>
        <i val="true"/>
        <sz val="9"/>
        <color rgb="FF595959"/>
        <rFont val="Arial"/>
        <family val="0"/>
        <charset val="1"/>
      </rPr>
      <t xml:space="preserve">3~4</t>
    </r>
    <r>
      <rPr>
        <i val="true"/>
        <sz val="9"/>
        <color rgb="FF595959"/>
        <rFont val="Noto Sans CJK SC"/>
        <family val="2"/>
      </rPr>
      <t xml:space="preserve">위안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Noto Sans CJK SC"/>
        <family val="2"/>
      </rPr>
      <t xml:space="preserve">대부분 도보권</t>
    </r>
  </si>
  <si>
    <t xml:space="preserve">9/20</t>
  </si>
  <si>
    <t xml:space="preserve">시내 → 푸동 국제공항</t>
  </si>
  <si>
    <t xml:space="preserve">지하철 2호선</t>
  </si>
  <si>
    <t xml:space="preserve">광란루역에서 열차 갈아탐, 1시간 15분</t>
  </si>
  <si>
    <t xml:space="preserve">공항 → 트빌리시 시내</t>
  </si>
  <si>
    <t xml:space="preserve">버스 37번</t>
  </si>
  <si>
    <t xml:space="preserve">GEL</t>
  </si>
  <si>
    <r>
      <rPr>
        <i val="true"/>
        <sz val="9"/>
        <color rgb="FF595959"/>
        <rFont val="Arial"/>
        <family val="0"/>
        <charset val="1"/>
      </rPr>
      <t xml:space="preserve">24</t>
    </r>
    <r>
      <rPr>
        <i val="true"/>
        <sz val="9"/>
        <color rgb="FF595959"/>
        <rFont val="Noto Sans CJK SC"/>
        <family val="2"/>
      </rPr>
      <t xml:space="preserve">시간 운행</t>
    </r>
  </si>
  <si>
    <t xml:space="preserve">9/21</t>
  </si>
  <si>
    <t xml:space="preserve">트빌리시 시내</t>
  </si>
  <si>
    <t xml:space="preserve">지하철·버스 (메트로머니)</t>
  </si>
  <si>
    <r>
      <rPr>
        <i val="true"/>
        <sz val="9"/>
        <color rgb="FF595959"/>
        <rFont val="Arial"/>
        <family val="0"/>
        <charset val="1"/>
      </rPr>
      <t xml:space="preserve">1</t>
    </r>
    <r>
      <rPr>
        <i val="true"/>
        <sz val="9"/>
        <color rgb="FF595959"/>
        <rFont val="Noto Sans CJK SC"/>
        <family val="2"/>
      </rPr>
      <t xml:space="preserve">회 </t>
    </r>
    <r>
      <rPr>
        <i val="true"/>
        <sz val="9"/>
        <color rgb="FF595959"/>
        <rFont val="Arial"/>
        <family val="0"/>
        <charset val="1"/>
      </rPr>
      <t xml:space="preserve">1</t>
    </r>
    <r>
      <rPr>
        <i val="true"/>
        <sz val="9"/>
        <color rgb="FF595959"/>
        <rFont val="Noto Sans CJK SC"/>
        <family val="2"/>
      </rPr>
      <t xml:space="preserve">라리</t>
    </r>
    <r>
      <rPr>
        <i val="true"/>
        <sz val="9"/>
        <color rgb="FF595959"/>
        <rFont val="Arial"/>
        <family val="0"/>
        <charset val="1"/>
      </rPr>
      <t xml:space="preserve">, 90</t>
    </r>
    <r>
      <rPr>
        <i val="true"/>
        <sz val="9"/>
        <color rgb="FF595959"/>
        <rFont val="Noto Sans CJK SC"/>
        <family val="2"/>
      </rPr>
      <t xml:space="preserve">분 내 환승 무료</t>
    </r>
  </si>
  <si>
    <t xml:space="preserve">9/22</t>
  </si>
  <si>
    <t xml:space="preserve">디두베 → 므츠헤타 왕복</t>
  </si>
  <si>
    <t xml:space="preserve">마르슈르트카</t>
  </si>
  <si>
    <t xml:space="preserve">시외</t>
  </si>
  <si>
    <r>
      <rPr>
        <i val="true"/>
        <sz val="9"/>
        <color rgb="FF595959"/>
        <rFont val="Arial"/>
        <family val="0"/>
        <charset val="1"/>
      </rPr>
      <t xml:space="preserve">20</t>
    </r>
    <r>
      <rPr>
        <i val="true"/>
        <sz val="9"/>
        <color rgb="FF595959"/>
        <rFont val="Noto Sans CJK SC"/>
        <family val="2"/>
      </rPr>
      <t xml:space="preserve">분 간격</t>
    </r>
    <r>
      <rPr>
        <i val="true"/>
        <sz val="9"/>
        <color rgb="FF595959"/>
        <rFont val="Arial"/>
        <family val="0"/>
        <charset val="1"/>
      </rPr>
      <t xml:space="preserve">, 30</t>
    </r>
    <r>
      <rPr>
        <i val="true"/>
        <sz val="9"/>
        <color rgb="FF595959"/>
        <rFont val="Noto Sans CJK SC"/>
        <family val="2"/>
      </rPr>
      <t xml:space="preserve">분 소요</t>
    </r>
  </si>
  <si>
    <t xml:space="preserve">므츠헤타 → 즈바리 수도원 왕복</t>
  </si>
  <si>
    <t xml:space="preserve">택시 (대기 포함)</t>
  </si>
  <si>
    <t xml:space="preserve">✕</t>
  </si>
  <si>
    <t xml:space="preserve">대중교통 없음 · 1인 단독이라 전액 부담</t>
  </si>
  <si>
    <t xml:space="preserve">9/23</t>
  </si>
  <si>
    <t xml:space="preserve">디두베 → 스테판츠민다</t>
  </si>
  <si>
    <r>
      <rPr>
        <i val="true"/>
        <sz val="9"/>
        <color rgb="FF595959"/>
        <rFont val="Arial"/>
        <family val="0"/>
        <charset val="1"/>
      </rPr>
      <t xml:space="preserve">3.5~4</t>
    </r>
    <r>
      <rPr>
        <i val="true"/>
        <sz val="9"/>
        <color rgb="FF595959"/>
        <rFont val="Noto Sans CJK SC"/>
        <family val="2"/>
      </rPr>
      <t xml:space="preserve">시간 </t>
    </r>
    <r>
      <rPr>
        <i val="true"/>
        <sz val="9"/>
        <color rgb="FF595959"/>
        <rFont val="Arial"/>
        <family val="0"/>
        <charset val="1"/>
      </rPr>
      <t xml:space="preserve">· 06:40 </t>
    </r>
    <r>
      <rPr>
        <i val="true"/>
        <sz val="9"/>
        <color rgb="FF595959"/>
        <rFont val="Noto Sans CJK SC"/>
        <family val="2"/>
      </rPr>
      <t xml:space="preserve">터미널 도착해 첫 편 탑승 권장</t>
    </r>
  </si>
  <si>
    <t xml:space="preserve">스테판츠민다 → 게르게티 교회</t>
  </si>
  <si>
    <t xml:space="preserve">4WD (편도) · 하산은 도보</t>
  </si>
  <si>
    <t xml:space="preserve">카즈베기 1박이라 도착일 오후에 확정 이용. 하산은 도보. 흐리면 B안(1박 연장)</t>
  </si>
  <si>
    <t xml:space="preserve">9/24</t>
  </si>
  <si>
    <t xml:space="preserve">스테판츠민다 → 트빌리시</t>
  </si>
  <si>
    <t xml:space="preserve">주타 복귀 후 14:00 편 · 약 3~3.5시간</t>
  </si>
  <si>
    <t xml:space="preserve">트빌리시 시내 (디두베 → 숙소)</t>
  </si>
  <si>
    <t xml:space="preserve">지하철·버스</t>
  </si>
  <si>
    <t xml:space="preserve">지하철</t>
  </si>
  <si>
    <t xml:space="preserve">9/26</t>
  </si>
  <si>
    <t xml:space="preserve">오르타찰라 → 알라베르디</t>
  </si>
  <si>
    <t xml:space="preserve">합승택시 (예레반행)</t>
  </si>
  <si>
    <t xml:space="preserve">오전 정시편(08:20) 이용 — 대기 불확실성 해소</t>
  </si>
  <si>
    <t xml:space="preserve">알라베르디 → 사나힌 왕복</t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</si>
  <si>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번 버스</t>
    </r>
  </si>
  <si>
    <t xml:space="preserve">AMD</t>
  </si>
  <si>
    <t xml:space="preserve">왕복 400드람 · 택시로 하흐파트와 묶으면 6,000드람 안팎</t>
  </si>
  <si>
    <t xml:space="preserve">알라베르디 → 하흐파트 왕복</t>
  </si>
  <si>
    <t xml:space="preserve">주말 3편(9·13·17시)뿐</t>
  </si>
  <si>
    <t xml:space="preserve">9/27</t>
  </si>
  <si>
    <t xml:space="preserve">알라베르디 → 예레반</t>
  </si>
  <si>
    <t xml:space="preserve">첫차 07:30 · 스피타크·아파란 경유 약 4시간 · 직행 없으면 바나조르 환승</t>
  </si>
  <si>
    <t xml:space="preserve">10/2</t>
  </si>
  <si>
    <t xml:space="preserve">예레반 → 세반 왕복</t>
  </si>
  <si>
    <t xml:space="preserve">편도 1,000~1,500드람 · 편도 1~1.5시간</t>
  </si>
  <si>
    <t xml:space="preserve">세반 → 세바나방크 반도</t>
  </si>
  <si>
    <t xml:space="preserve">도보 또는 택시</t>
  </si>
  <si>
    <t xml:space="preserve">△</t>
  </si>
  <si>
    <t xml:space="preserve">도보 30분 · 1인 단독이라 전액 부담</t>
  </si>
  <si>
    <t xml:space="preserve">킬리키아 터미널 → 시내</t>
  </si>
  <si>
    <t xml:space="preserve">버스</t>
  </si>
  <si>
    <t xml:space="preserve">또는 얀덱스 택시</t>
  </si>
  <si>
    <t xml:space="preserve">9/28</t>
  </si>
  <si>
    <t xml:space="preserve">가르니 → 게하르트 왕복</t>
  </si>
  <si>
    <t xml:space="preserve">택시</t>
  </si>
  <si>
    <r>
      <rPr>
        <i val="true"/>
        <sz val="9"/>
        <color rgb="FF595959"/>
        <rFont val="Arial"/>
        <family val="0"/>
        <charset val="1"/>
      </rPr>
      <t xml:space="preserve">9km, </t>
    </r>
    <r>
      <rPr>
        <i val="true"/>
        <sz val="9"/>
        <color rgb="FF595959"/>
        <rFont val="Noto Sans CJK SC"/>
        <family val="2"/>
      </rPr>
      <t xml:space="preserve">대중교통 없음 </t>
    </r>
    <r>
      <rPr>
        <i val="true"/>
        <sz val="9"/>
        <color rgb="FF595959"/>
        <rFont val="Arial"/>
        <family val="0"/>
        <charset val="1"/>
      </rPr>
      <t xml:space="preserve">· 1</t>
    </r>
    <r>
      <rPr>
        <i val="true"/>
        <sz val="9"/>
        <color rgb="FF595959"/>
        <rFont val="Noto Sans CJK SC"/>
        <family val="2"/>
      </rPr>
      <t xml:space="preserve">인 단독이라 전액 부담</t>
    </r>
  </si>
  <si>
    <t xml:space="preserve">9/29</t>
  </si>
  <si>
    <t xml:space="preserve">예레반 → 에치미아진 왕복</t>
  </si>
  <si>
    <t xml:space="preserve">킬리키아 터미널</t>
  </si>
  <si>
    <t xml:space="preserve">예레반 → 코르 비랍 왕복</t>
  </si>
  <si>
    <t xml:space="preserve">하루 몇 편뿐</t>
  </si>
  <si>
    <t xml:space="preserve">9/30</t>
  </si>
  <si>
    <t xml:space="preserve">예레반 → 아레니 갈림길 → 고리스</t>
  </si>
  <si>
    <t xml:space="preserve">노라방크 입구에서 하차 후 지나가는 차 재탑승</t>
  </si>
  <si>
    <t xml:space="preserve">아레니 갈림길 → 노라방크 왕복</t>
  </si>
  <si>
    <r>
      <rPr>
        <i val="true"/>
        <sz val="9"/>
        <color rgb="FF595959"/>
        <rFont val="Arial"/>
        <family val="0"/>
        <charset val="1"/>
      </rPr>
      <t xml:space="preserve">8km, </t>
    </r>
    <r>
      <rPr>
        <i val="true"/>
        <sz val="9"/>
        <color rgb="FF595959"/>
        <rFont val="Noto Sans CJK SC"/>
        <family val="2"/>
      </rPr>
      <t xml:space="preserve">대중교통 없음 </t>
    </r>
    <r>
      <rPr>
        <i val="true"/>
        <sz val="9"/>
        <color rgb="FF595959"/>
        <rFont val="Arial"/>
        <family val="0"/>
        <charset val="1"/>
      </rPr>
      <t xml:space="preserve">· 1</t>
    </r>
    <r>
      <rPr>
        <i val="true"/>
        <sz val="9"/>
        <color rgb="FF595959"/>
        <rFont val="Noto Sans CJK SC"/>
        <family val="2"/>
      </rPr>
      <t xml:space="preserve">인 단독이라 전액 부담</t>
    </r>
  </si>
  <si>
    <t xml:space="preserve">10/1</t>
  </si>
  <si>
    <t xml:space="preserve">고리스 → 할리조르 승강장 왕복</t>
  </si>
  <si>
    <t xml:space="preserve">타테브 케이블카 승강장 · 1인 단독이라 전액 부담</t>
  </si>
  <si>
    <t xml:space="preserve">고리스 → 예레반</t>
  </si>
  <si>
    <r>
      <rPr>
        <i val="true"/>
        <sz val="9"/>
        <color rgb="FF595959"/>
        <rFont val="Arial"/>
        <family val="0"/>
        <charset val="1"/>
      </rPr>
      <t xml:space="preserve">607</t>
    </r>
    <r>
      <rPr>
        <i val="true"/>
        <sz val="9"/>
        <color rgb="FF595959"/>
        <rFont val="Noto Sans CJK SC"/>
        <family val="2"/>
      </rPr>
      <t xml:space="preserve">번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Noto Sans CJK SC"/>
        <family val="2"/>
      </rPr>
      <t xml:space="preserve">고리스 출발 </t>
    </r>
    <r>
      <rPr>
        <i val="true"/>
        <sz val="9"/>
        <color rgb="FF595959"/>
        <rFont val="Arial"/>
        <family val="0"/>
        <charset val="1"/>
      </rPr>
      <t xml:space="preserve">07·09·15·16</t>
    </r>
    <r>
      <rPr>
        <i val="true"/>
        <sz val="9"/>
        <color rgb="FF595959"/>
        <rFont val="Noto Sans CJK SC"/>
        <family val="2"/>
      </rPr>
      <t xml:space="preserve">시 네 편뿐 </t>
    </r>
    <r>
      <rPr>
        <i val="true"/>
        <sz val="9"/>
        <color rgb="FF595959"/>
        <rFont val="Arial"/>
        <family val="0"/>
        <charset val="1"/>
      </rPr>
      <t xml:space="preserve">· 15:00 </t>
    </r>
    <r>
      <rPr>
        <i val="true"/>
        <sz val="9"/>
        <color rgb="FF595959"/>
        <rFont val="Noto Sans CJK SC"/>
        <family val="2"/>
      </rPr>
      <t xml:space="preserve">편 이용 </t>
    </r>
    <r>
      <rPr>
        <i val="true"/>
        <sz val="9"/>
        <color rgb="FF595959"/>
        <rFont val="Arial"/>
        <family val="0"/>
        <charset val="1"/>
      </rPr>
      <t xml:space="preserve">· 4~5</t>
    </r>
    <r>
      <rPr>
        <i val="true"/>
        <sz val="9"/>
        <color rgb="FF595959"/>
        <rFont val="Noto Sans CJK SC"/>
        <family val="2"/>
      </rPr>
      <t xml:space="preserve">시간</t>
    </r>
  </si>
  <si>
    <t xml:space="preserve">예레반 시내 (베르니사쥬 등)</t>
  </si>
  <si>
    <t xml:space="preserve">택시 2회</t>
  </si>
  <si>
    <t xml:space="preserve">숙소 유지, 짐 이동 없음</t>
  </si>
  <si>
    <t xml:space="preserve">10/3</t>
  </si>
  <si>
    <t xml:space="preserve">예레반 → 즈바르트노츠 공항</t>
  </si>
  <si>
    <r>
      <rPr>
        <i val="true"/>
        <sz val="9"/>
        <color rgb="FF595959"/>
        <rFont val="Arial"/>
        <family val="0"/>
        <charset val="1"/>
      </rPr>
      <t xml:space="preserve">01:30</t>
    </r>
    <r>
      <rPr>
        <i val="true"/>
        <sz val="9"/>
        <color rgb="FF595959"/>
        <rFont val="Noto Sans CJK SC"/>
        <family val="2"/>
      </rPr>
      <t xml:space="preserve">경 출발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Noto Sans CJK SC"/>
        <family val="2"/>
      </rPr>
      <t xml:space="preserve">심야 할증 감안</t>
    </r>
  </si>
  <si>
    <t xml:space="preserve">아테네 공항 → 신타그마역</t>
  </si>
  <si>
    <t xml:space="preserve">메트로 3호선</t>
  </si>
  <si>
    <t xml:space="preserve">EUR</t>
  </si>
  <si>
    <t xml:space="preserve">공항선 정액 10유로, 40분</t>
  </si>
  <si>
    <t xml:space="preserve">아테네 시내 이동</t>
  </si>
  <si>
    <t xml:space="preserve">메트로·트램 4~5회</t>
  </si>
  <si>
    <r>
      <rPr>
        <i val="true"/>
        <sz val="9"/>
        <color rgb="FF595959"/>
        <rFont val="Arial"/>
        <family val="0"/>
        <charset val="1"/>
      </rPr>
      <t xml:space="preserve">1</t>
    </r>
    <r>
      <rPr>
        <i val="true"/>
        <sz val="9"/>
        <color rgb="FF595959"/>
        <rFont val="Noto Sans CJK SC"/>
        <family val="2"/>
      </rPr>
      <t xml:space="preserve">회 </t>
    </r>
    <r>
      <rPr>
        <i val="true"/>
        <sz val="9"/>
        <color rgb="FF595959"/>
        <rFont val="Arial"/>
        <family val="0"/>
        <charset val="1"/>
      </rPr>
      <t xml:space="preserve">1.20</t>
    </r>
    <r>
      <rPr>
        <i val="true"/>
        <sz val="9"/>
        <color rgb="FF595959"/>
        <rFont val="Noto Sans CJK SC"/>
        <family val="2"/>
      </rPr>
      <t xml:space="preserve">유로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Noto Sans CJK SC"/>
        <family val="2"/>
      </rPr>
      <t xml:space="preserve">대부분 도보권이라 보조 수단</t>
    </r>
  </si>
  <si>
    <t xml:space="preserve">10/4</t>
  </si>
  <si>
    <t xml:space="preserve">아테네 → 공항 (04:10 출발)</t>
  </si>
  <si>
    <t xml:space="preserve">X95 공항버스</t>
  </si>
  <si>
    <t xml:space="preserve">신타그마 발 24시간 운행 · 야간 60분 간격이라 03:55까지 정류장 도착 · 승차권은 전날 지하철역에서 미리 구입 · 택시는 심야 정액 55유로</t>
  </si>
  <si>
    <t xml:space="preserve">자이드 국제공항 → TRYP 호텔</t>
  </si>
  <si>
    <t xml:space="preserve">AED</t>
  </si>
  <si>
    <t xml:space="preserve">칼리파 bin 자이드 St · 30~40분 · 미터 약 85~100디르함</t>
  </si>
  <si>
    <t xml:space="preserve">TRYP 호텔 → 루브르 아부다비</t>
  </si>
  <si>
    <t xml:space="preserve">사디야트 섬 · 약 14km, 20~25분</t>
  </si>
  <si>
    <t xml:space="preserve">루브르 → 셰이크 자이드 모스크</t>
  </si>
  <si>
    <t xml:space="preserve">섬 반대편 횡단 약 28km, 30~35분 · 94번 버스면 2디르함이나 60~75분</t>
  </si>
  <si>
    <t xml:space="preserve">모스크 → TRYP 호텔</t>
  </si>
  <si>
    <t xml:space="preserve">약 14km, 18~20분</t>
  </si>
  <si>
    <t xml:space="preserve">10/5</t>
  </si>
  <si>
    <t xml:space="preserve">TRYP 호텔 → 공항 (05:30)</t>
  </si>
  <si>
    <t xml:space="preserve">A2 공항버스</t>
  </si>
  <si>
    <t xml:space="preserve">버스 4디르함 + 하필라트 카드 10디르함 · 칼리파 bin 자이드 St 승차 · 40~45분</t>
  </si>
  <si>
    <t xml:space="preserve">예레반 → 가르니 왕복</t>
  </si>
  <si>
    <t xml:space="preserve">266·284번 버스</t>
  </si>
  <si>
    <t xml:space="preserve">가이 정류장 출발 · 30분 간격 · 왕복 500드람</t>
  </si>
  <si>
    <t xml:space="preserve">스테판츠민다 → 주타 왕복</t>
  </si>
  <si>
    <t xml:space="preserve">4WD 택시 (대기 포함)</t>
  </si>
  <si>
    <t xml:space="preserve">대중교통 없음 · 25km 비포장 · 1인 단독이면 전액. 동행 구하면 40라리</t>
  </si>
  <si>
    <t xml:space="preserve">9/25</t>
  </si>
  <si>
    <t xml:space="preserve">트빌리시 → 시그나기 왕복</t>
  </si>
  <si>
    <t xml:space="preserve">삼고리 터미널 출발 · 편도 2~2.5시간 · 보드베는 요청하면 하차 · 돌아오는 막차 18~19시</t>
  </si>
  <si>
    <t xml:space="preserve">교통비 합계</t>
  </si>
  <si>
    <t xml:space="preserve">택시 구간: 즈바리 · 주타 · 게하르트 · 노라방크 · 타테브 · 아부다비 10/4 시내 이동. 아테네(X95)·아부다비(A2) 새벽 공항행은 24시간 공항버스로 해결했습니다.</t>
  </si>
  <si>
    <t xml:space="preserve">아부다비 10/4는 루브르(사디야트, 북쪽)와 모스크(알 마크타, 남쪽)가 정반대 방향이라 전 구간 택시로 잡았습니다. 루브르→모스크만 94번 버스로 바꾸면 75→2디르함이지만 60~75분이 걸립니다.</t>
  </si>
  <si>
    <t xml:space="preserve">입장료 — 수도원은 대부분 무료</t>
  </si>
  <si>
    <t xml:space="preserve">장소</t>
  </si>
  <si>
    <t xml:space="preserve">원화</t>
  </si>
  <si>
    <t xml:space="preserve">예원 (豫园)</t>
  </si>
  <si>
    <t xml:space="preserve">09:00~16:30 폐장(매표 마감 더 이름) · 9월은 성수기 요금 40위안</t>
  </si>
  <si>
    <t xml:space="preserve">아바노투바니 유황온천 (공용탕)</t>
  </si>
  <si>
    <t xml:space="preserve">개인탕은 50~100라리</t>
  </si>
  <si>
    <t xml:space="preserve">나리칼라 케이블카 편도×2</t>
  </si>
  <si>
    <t xml:space="preserve">메트로머니로 결제</t>
  </si>
  <si>
    <t xml:space="preserve">스베티츠호벨리 대성당</t>
  </si>
  <si>
    <t xml:space="preserve">무료</t>
  </si>
  <si>
    <t xml:space="preserve">즈바리 수도원</t>
  </si>
  <si>
    <t xml:space="preserve">게르게티 삼위일체 교회</t>
  </si>
  <si>
    <t xml:space="preserve">사나힌 수도원</t>
  </si>
  <si>
    <t xml:space="preserve">시그나기 와이너리 시음 (선택)</t>
  </si>
  <si>
    <t xml:space="preserve">크베브리 오렌지와인. 생략 가능 · 보드베·시그나기 성벽은 무료</t>
  </si>
  <si>
    <t xml:space="preserve">하흐파트 수도원</t>
  </si>
  <si>
    <t xml:space="preserve">세바나방크</t>
  </si>
  <si>
    <t xml:space="preserve">가르니 신전</t>
  </si>
  <si>
    <t xml:space="preserve">돌의 교향곡은 무료</t>
  </si>
  <si>
    <t xml:space="preserve">게하르트 수도원</t>
  </si>
  <si>
    <t xml:space="preserve">에치미아진 보물관</t>
  </si>
  <si>
    <t xml:space="preserve">대성당 자체는 무료</t>
  </si>
  <si>
    <t xml:space="preserve">코르 비랍</t>
  </si>
  <si>
    <t xml:space="preserve">노라방크</t>
  </si>
  <si>
    <t xml:space="preserve">윙스 오브 타테브 케이블카 왕복</t>
  </si>
  <si>
    <t xml:space="preserve">월요일 휴무</t>
  </si>
  <si>
    <t xml:space="preserve">타테브 수도원</t>
  </si>
  <si>
    <t xml:space="preserve">아크로폴리스</t>
  </si>
  <si>
    <t xml:space="preserve">hhticket.gr 공식 정가 30유로(연중 동일) · 타임드 엔트리 필수 · 60일 전 오픈, 성수기 5~7일 전 매진</t>
  </si>
  <si>
    <t xml:space="preserve">고대 아고라 · 헤파이스토스 신전</t>
  </si>
  <si>
    <t xml:space="preserve">통합권 폐지로 별도 구매 — 실제 확인가</t>
  </si>
  <si>
    <t xml:space="preserve">아크로폴리스 박물관</t>
  </si>
  <si>
    <t xml:space="preserve">실제 확인가 (별도 티켓)</t>
  </si>
  <si>
    <t xml:space="preserve">루브르 아부다비</t>
  </si>
  <si>
    <t xml:space="preserve">10/4 일요일 10:00~20:30, 최종 입장 20:00 · 월요일 휴관 · 돔은 자정까지</t>
  </si>
  <si>
    <t xml:space="preserve">셰이크 자이드 그랜드 모스크</t>
  </si>
  <si>
    <t xml:space="preserve">입장료 합계</t>
  </si>
  <si>
    <t xml:space="preserve">조지아·아르메니아 수도원은 대부분 무료입니다. 지출은 타테브 케이블카·아크로폴리스·루브르에 몰려 있습니다.</t>
  </si>
  <si>
    <t xml:space="preserve">일자별 예산 (1인 기준, 원)</t>
  </si>
  <si>
    <t xml:space="preserve">1인 단독 여행 기준. 택시·기사 비용은 나눌 사람이 없어 전액 부담으로 계산했습니다. 9/19 상하이 1박은 항공권과 별개인 실제 지출이라 일정에 포함했습니다.</t>
  </si>
  <si>
    <t xml:space="preserve">요일</t>
  </si>
  <si>
    <t xml:space="preserve">숙박지 / 주요 일정</t>
  </si>
  <si>
    <t xml:space="preserve">관광·입장비</t>
  </si>
  <si>
    <t xml:space="preserve">식비</t>
  </si>
  <si>
    <t xml:space="preserve">숙박비</t>
  </si>
  <si>
    <t xml:space="preserve">카페</t>
  </si>
  <si>
    <t xml:space="preserve">시외교통</t>
  </si>
  <si>
    <t xml:space="preserve">시내교통</t>
  </si>
  <si>
    <t xml:space="preserve">일계</t>
  </si>
  <si>
    <t xml:space="preserve">누계</t>
  </si>
  <si>
    <t xml:space="preserve">토</t>
  </si>
  <si>
    <t xml:space="preserve">상하이 — 예원·성황묘·와이탄 야경</t>
  </si>
  <si>
    <t xml:space="preserve">일</t>
  </si>
  <si>
    <t xml:space="preserve">상하이 오전 → 트빌리시 19:00 도착</t>
  </si>
  <si>
    <t xml:space="preserve">월</t>
  </si>
  <si>
    <t xml:space="preserve">트빌리시 — 구시가·유황온천</t>
  </si>
  <si>
    <t xml:space="preserve">화</t>
  </si>
  <si>
    <t xml:space="preserve">트빌리시 — 므츠헤타 반나절</t>
  </si>
  <si>
    <t xml:space="preserve">수</t>
  </si>
  <si>
    <t xml:space="preserve">카즈베기 — 군사도로 · 게르게티 (1박)</t>
  </si>
  <si>
    <t xml:space="preserve">목</t>
  </si>
  <si>
    <t xml:space="preserve">주타 데이 트레킹 → 트빌리시 복귀</t>
  </si>
  <si>
    <t xml:space="preserve">금</t>
  </si>
  <si>
    <t xml:space="preserve">시그나기 · 보드베 당일치기 (카헤티)</t>
  </si>
  <si>
    <t xml:space="preserve">알라베르디 — 하흐파트·사나힌</t>
  </si>
  <si>
    <t xml:space="preserve">예레반 — 베르니사쥬·캐스케이드</t>
  </si>
  <si>
    <t xml:space="preserve">예레반 — 가르니·게하르트</t>
  </si>
  <si>
    <t xml:space="preserve">예레반 — 에치미아진·코르 비랍</t>
  </si>
  <si>
    <t xml:space="preserve">고리스 — 노라방크</t>
  </si>
  <si>
    <t xml:space="preserve">예레반 복귀 — 타테브</t>
  </si>
  <si>
    <t xml:space="preserve">예레반 — 세반 호수 당일치기</t>
  </si>
  <si>
    <t xml:space="preserve">아테네 — 아크로폴리스 (도미토리 1박)</t>
  </si>
  <si>
    <t xml:space="preserve">아부다비 — 루브르·그랜드 모스크 (TRYP, 숙박 항공권 포함)</t>
  </si>
  <si>
    <t xml:space="preserve">아부다비 → 인천 (08:35 출발) · 새벽 A2 버스</t>
  </si>
  <si>
    <t xml:space="preserve">합계</t>
  </si>
  <si>
    <t xml:space="preserve">총예산 점검</t>
  </si>
  <si>
    <t xml:space="preserve">현지 지출 합계</t>
  </si>
  <si>
    <t xml:space="preserve">항공권</t>
  </si>
  <si>
    <t xml:space="preserve">소계</t>
  </si>
  <si>
    <t xml:space="preserve">잔여 여유분</t>
  </si>
  <si>
    <t xml:space="preserve">※ 여행자보험·유심(중국은 로밍 권장 / 조지아·아르메니아·그리스·UAE 각각)·기념품·와인 구매 등은 별도 고려하세요.</t>
  </si>
  <si>
    <t xml:space="preserve">※ 확정 숙소 — 상하이 Hi Cozy International Youth Hostel 137위안/1박(황푸구, 난징둥루역 도보권), 트빌리시 Cosy Koala Hostel 58라리/2박. 트빌리시는 9/22·9/25 두 밤이 추가로 필요합니다.</t>
  </si>
  <si>
    <t xml:space="preserve">※ 미예약 숙소(카즈베기·알라베르디·딜리잔·예레반·고리스)는 도미토리 기준 추정치입니다. 개인실을 잡으면 1인 여행이라 이 금액의 두 배 가까이 올라갑니다.</t>
  </si>
  <si>
    <t xml:space="preserve">※ 아부다비 숙소는 TRYP by Wyndham Abu Dhabi City Center(칼리파 bin 자이드 St) — 항공권 스톱오버에 포함되어 숙박비 0원. A2 공항버스가 이 도로에 정차합니다.</t>
  </si>
  <si>
    <r>
      <rPr>
        <sz val="11"/>
        <color theme="1"/>
        <rFont val="Calibri"/>
        <family val="2"/>
        <charset val="1"/>
      </rPr>
      <t xml:space="preserve">※ 9/24 </t>
    </r>
    <r>
      <rPr>
        <sz val="11"/>
        <color theme="1"/>
        <rFont val="Noto Sans CJK SC"/>
        <family val="2"/>
      </rPr>
      <t xml:space="preserve">주타는 대중교통이 없어 </t>
    </r>
    <r>
      <rPr>
        <sz val="11"/>
        <color theme="1"/>
        <rFont val="Calibri"/>
        <family val="2"/>
        <charset val="1"/>
      </rPr>
      <t xml:space="preserve">4WD </t>
    </r>
    <r>
      <rPr>
        <sz val="11"/>
        <color theme="1"/>
        <rFont val="Noto Sans CJK SC"/>
        <family val="2"/>
      </rPr>
      <t xml:space="preserve">택시 왕복 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라리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인 전액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카즈베기 게스트하우스에서 동행을 구하면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라리로 줄어듭니다</t>
    </r>
    <r>
      <rPr>
        <sz val="11"/>
        <color theme="1"/>
        <rFont val="Calibri"/>
        <family val="2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</si>
</sst>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"/>
    <numFmt numFmtId="167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i val="true"/>
      <sz val="9"/>
      <color rgb="FF595959"/>
      <name val="Noto Sans CJK SC"/>
      <family val="2"/>
      <charset val="1"/>
    </font>
    <font>
      <b val="true"/>
      <sz val="10"/>
      <name val="Arial"/>
      <family val="0"/>
      <charset val="1"/>
    </font>
    <font>
      <sz val="11"/>
      <color theme="1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name val="Noto Sans CJK SC"/>
      <family val="2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58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15" hidden="false" customHeight="true" outlineLevel="0" collapsed="false">
      <c r="A4" s="4" t="s">
        <v>4</v>
      </c>
      <c r="B4" s="5" t="n">
        <v>541</v>
      </c>
      <c r="C4" s="6" t="s">
        <v>5</v>
      </c>
    </row>
    <row r="5" customFormat="false" ht="15" hidden="false" customHeight="true" outlineLevel="0" collapsed="false">
      <c r="A5" s="4" t="s">
        <v>6</v>
      </c>
      <c r="B5" s="7" t="n">
        <v>3.88</v>
      </c>
      <c r="C5" s="6" t="s">
        <v>5</v>
      </c>
    </row>
    <row r="6" customFormat="false" ht="15" hidden="false" customHeight="true" outlineLevel="0" collapsed="false">
      <c r="A6" s="4" t="s">
        <v>7</v>
      </c>
      <c r="B6" s="5" t="n">
        <v>1640</v>
      </c>
      <c r="C6" s="6" t="s">
        <v>8</v>
      </c>
    </row>
    <row r="7" customFormat="false" ht="15" hidden="false" customHeight="true" outlineLevel="0" collapsed="false">
      <c r="A7" s="8" t="s">
        <v>9</v>
      </c>
      <c r="B7" s="5" t="n">
        <v>387</v>
      </c>
      <c r="C7" s="6" t="s">
        <v>10</v>
      </c>
    </row>
    <row r="8" customFormat="false" ht="15" hidden="false" customHeight="true" outlineLevel="0" collapsed="false">
      <c r="A8" s="4" t="s">
        <v>11</v>
      </c>
      <c r="B8" s="5" t="n">
        <v>211</v>
      </c>
      <c r="C8" s="6" t="s">
        <v>12</v>
      </c>
    </row>
    <row r="9" customFormat="false" ht="15" hidden="false" customHeight="true" outlineLevel="0" collapsed="false">
      <c r="A9" s="4" t="s">
        <v>13</v>
      </c>
      <c r="B9" s="9" t="n">
        <v>1</v>
      </c>
      <c r="C9" s="10" t="s">
        <v>14</v>
      </c>
    </row>
    <row r="10" customFormat="false" ht="15" hidden="false" customHeight="true" outlineLevel="0" collapsed="false">
      <c r="A10" s="4" t="s">
        <v>15</v>
      </c>
      <c r="B10" s="5" t="n">
        <v>446000</v>
      </c>
      <c r="C10" s="10" t="s">
        <v>16</v>
      </c>
    </row>
    <row r="11" customFormat="false" ht="15" hidden="false" customHeight="true" outlineLevel="0" collapsed="false">
      <c r="A11" s="4" t="s">
        <v>17</v>
      </c>
      <c r="B11" s="5" t="n">
        <v>300000</v>
      </c>
      <c r="C11" s="10" t="s">
        <v>18</v>
      </c>
    </row>
    <row r="12" customFormat="false" ht="15" hidden="false" customHeight="true" outlineLevel="0" collapsed="false">
      <c r="A12" s="4" t="s">
        <v>19</v>
      </c>
      <c r="B12" s="5" t="n">
        <v>656700</v>
      </c>
      <c r="C12" s="10" t="s">
        <v>20</v>
      </c>
    </row>
    <row r="13" customFormat="false" ht="15" hidden="false" customHeight="true" outlineLevel="0" collapsed="false">
      <c r="A13" s="4" t="s">
        <v>21</v>
      </c>
      <c r="B13" s="11" t="n">
        <f aca="false">SUM(B10:B12)</f>
        <v>1402700</v>
      </c>
      <c r="C13" s="6" t="s">
        <v>22</v>
      </c>
    </row>
    <row r="14" customFormat="false" ht="15" hidden="false" customHeight="true" outlineLevel="0" collapsed="false">
      <c r="A14" s="4" t="s">
        <v>23</v>
      </c>
      <c r="B14" s="5" t="n">
        <v>3000000</v>
      </c>
      <c r="C14" s="10" t="s">
        <v>24</v>
      </c>
    </row>
    <row r="15" customFormat="false" ht="15" hidden="false" customHeight="true" outlineLevel="0" collapsed="false"/>
    <row r="16" customFormat="false" ht="15" hidden="false" customHeight="true" outlineLevel="0" collapsed="false">
      <c r="A16" s="12" t="s">
        <v>25</v>
      </c>
    </row>
    <row r="17" customFormat="false" ht="15" hidden="false" customHeight="true" outlineLevel="0" collapsed="false">
      <c r="A17" s="13" t="s">
        <v>26</v>
      </c>
    </row>
    <row r="18" customFormat="false" ht="15" hidden="false" customHeight="true" outlineLevel="0" collapsed="false">
      <c r="A18" s="1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24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42"/>
  </cols>
  <sheetData>
    <row r="1" customFormat="false" ht="15.75" hidden="false" customHeight="true" outlineLevel="0" collapsed="false">
      <c r="A1" s="2" t="s">
        <v>28</v>
      </c>
    </row>
    <row r="2" customFormat="false" ht="15" hidden="false" customHeight="true" outlineLevel="0" collapsed="false">
      <c r="A2" s="12" t="s">
        <v>29</v>
      </c>
    </row>
    <row r="4" customFormat="false" ht="15" hidden="false" customHeight="true" outlineLevel="0" collapsed="false">
      <c r="A4" s="14" t="s">
        <v>30</v>
      </c>
      <c r="B4" s="14" t="s">
        <v>31</v>
      </c>
      <c r="C4" s="14" t="s">
        <v>32</v>
      </c>
      <c r="D4" s="14" t="s">
        <v>33</v>
      </c>
      <c r="E4" s="14" t="s">
        <v>34</v>
      </c>
      <c r="F4" s="14" t="s">
        <v>35</v>
      </c>
      <c r="G4" s="15" t="s">
        <v>36</v>
      </c>
      <c r="H4" s="14" t="s">
        <v>37</v>
      </c>
      <c r="I4" s="14" t="s">
        <v>3</v>
      </c>
    </row>
    <row r="5" customFormat="false" ht="15" hidden="false" customHeight="true" outlineLevel="0" collapsed="false">
      <c r="A5" s="8" t="s">
        <v>38</v>
      </c>
      <c r="B5" s="4" t="s">
        <v>39</v>
      </c>
      <c r="C5" s="4" t="s">
        <v>40</v>
      </c>
      <c r="D5" s="16" t="s">
        <v>41</v>
      </c>
      <c r="E5" s="17" t="n">
        <v>5</v>
      </c>
      <c r="F5" s="8" t="s">
        <v>42</v>
      </c>
      <c r="G5" s="11" t="n">
        <f aca="false">ROUND(E5*환율!$B$8/1,0)</f>
        <v>1055</v>
      </c>
      <c r="H5" s="18" t="s">
        <v>43</v>
      </c>
      <c r="I5" s="10" t="s">
        <v>44</v>
      </c>
    </row>
    <row r="6" customFormat="false" ht="15" hidden="false" customHeight="true" outlineLevel="0" collapsed="false">
      <c r="A6" s="8" t="s">
        <v>38</v>
      </c>
      <c r="B6" s="4" t="s">
        <v>45</v>
      </c>
      <c r="C6" s="4" t="s">
        <v>46</v>
      </c>
      <c r="D6" s="16" t="s">
        <v>41</v>
      </c>
      <c r="E6" s="17" t="n">
        <v>8</v>
      </c>
      <c r="F6" s="8" t="s">
        <v>42</v>
      </c>
      <c r="G6" s="11" t="n">
        <f aca="false">ROUND(E6*환율!$B$8/1,0)</f>
        <v>1688</v>
      </c>
      <c r="H6" s="18" t="s">
        <v>43</v>
      </c>
      <c r="I6" s="6" t="s">
        <v>47</v>
      </c>
    </row>
    <row r="7" customFormat="false" ht="15" hidden="false" customHeight="true" outlineLevel="0" collapsed="false">
      <c r="A7" s="8" t="s">
        <v>48</v>
      </c>
      <c r="B7" s="4" t="s">
        <v>49</v>
      </c>
      <c r="C7" s="4" t="s">
        <v>50</v>
      </c>
      <c r="D7" s="16" t="s">
        <v>41</v>
      </c>
      <c r="E7" s="17" t="n">
        <v>8</v>
      </c>
      <c r="F7" s="8" t="s">
        <v>42</v>
      </c>
      <c r="G7" s="11" t="n">
        <f aca="false">ROUND(E7*환율!$B$8/1,0)</f>
        <v>1688</v>
      </c>
      <c r="H7" s="18" t="s">
        <v>43</v>
      </c>
      <c r="I7" s="10" t="s">
        <v>51</v>
      </c>
    </row>
    <row r="8" customFormat="false" ht="15" hidden="false" customHeight="true" outlineLevel="0" collapsed="false">
      <c r="A8" s="8" t="s">
        <v>48</v>
      </c>
      <c r="B8" s="4" t="s">
        <v>52</v>
      </c>
      <c r="C8" s="4" t="s">
        <v>53</v>
      </c>
      <c r="D8" s="16" t="s">
        <v>41</v>
      </c>
      <c r="E8" s="17" t="n">
        <v>1</v>
      </c>
      <c r="F8" s="8" t="s">
        <v>54</v>
      </c>
      <c r="G8" s="11" t="n">
        <f aca="false">ROUND(E8*환율!$B$4/1,0)</f>
        <v>541</v>
      </c>
      <c r="H8" s="18" t="s">
        <v>43</v>
      </c>
      <c r="I8" s="6" t="s">
        <v>55</v>
      </c>
    </row>
    <row r="9" customFormat="false" ht="15" hidden="false" customHeight="true" outlineLevel="0" collapsed="false">
      <c r="A9" s="8" t="s">
        <v>56</v>
      </c>
      <c r="B9" s="4" t="s">
        <v>57</v>
      </c>
      <c r="C9" s="4" t="s">
        <v>58</v>
      </c>
      <c r="D9" s="16" t="s">
        <v>41</v>
      </c>
      <c r="E9" s="17" t="n">
        <v>4</v>
      </c>
      <c r="F9" s="8" t="s">
        <v>54</v>
      </c>
      <c r="G9" s="11" t="n">
        <f aca="false">ROUND(E9*환율!$B$4/1,0)</f>
        <v>2164</v>
      </c>
      <c r="H9" s="18" t="s">
        <v>43</v>
      </c>
      <c r="I9" s="6" t="s">
        <v>59</v>
      </c>
    </row>
    <row r="10" customFormat="false" ht="15" hidden="false" customHeight="true" outlineLevel="0" collapsed="false">
      <c r="A10" s="8" t="s">
        <v>60</v>
      </c>
      <c r="B10" s="4" t="s">
        <v>61</v>
      </c>
      <c r="C10" s="4" t="s">
        <v>62</v>
      </c>
      <c r="D10" s="16" t="s">
        <v>63</v>
      </c>
      <c r="E10" s="17" t="n">
        <v>3</v>
      </c>
      <c r="F10" s="8" t="s">
        <v>54</v>
      </c>
      <c r="G10" s="11" t="n">
        <f aca="false">ROUND(E10*환율!$B$4/1,0)</f>
        <v>1623</v>
      </c>
      <c r="H10" s="18" t="s">
        <v>43</v>
      </c>
      <c r="I10" s="6" t="s">
        <v>64</v>
      </c>
    </row>
    <row r="11" customFormat="false" ht="15" hidden="false" customHeight="true" outlineLevel="0" collapsed="false">
      <c r="A11" s="8" t="s">
        <v>60</v>
      </c>
      <c r="B11" s="4" t="s">
        <v>65</v>
      </c>
      <c r="C11" s="4" t="s">
        <v>66</v>
      </c>
      <c r="D11" s="16" t="s">
        <v>41</v>
      </c>
      <c r="E11" s="17" t="n">
        <v>25</v>
      </c>
      <c r="F11" s="8" t="s">
        <v>54</v>
      </c>
      <c r="G11" s="11" t="n">
        <f aca="false">ROUND(E11*환율!$B$4/1,0)</f>
        <v>13525</v>
      </c>
      <c r="H11" s="18" t="s">
        <v>67</v>
      </c>
      <c r="I11" s="10" t="s">
        <v>68</v>
      </c>
    </row>
    <row r="12" customFormat="false" ht="15" hidden="false" customHeight="true" outlineLevel="0" collapsed="false">
      <c r="A12" s="8" t="s">
        <v>69</v>
      </c>
      <c r="B12" s="4" t="s">
        <v>70</v>
      </c>
      <c r="C12" s="4" t="s">
        <v>62</v>
      </c>
      <c r="D12" s="16" t="s">
        <v>63</v>
      </c>
      <c r="E12" s="17" t="n">
        <v>15</v>
      </c>
      <c r="F12" s="8" t="s">
        <v>54</v>
      </c>
      <c r="G12" s="11" t="n">
        <f aca="false">ROUND(E12*환율!$B$4/1,0)</f>
        <v>8115</v>
      </c>
      <c r="H12" s="18" t="s">
        <v>43</v>
      </c>
      <c r="I12" s="6" t="s">
        <v>71</v>
      </c>
    </row>
    <row r="13" customFormat="false" ht="15" hidden="false" customHeight="true" outlineLevel="0" collapsed="false">
      <c r="A13" s="8" t="s">
        <v>69</v>
      </c>
      <c r="B13" s="4" t="s">
        <v>72</v>
      </c>
      <c r="C13" s="4" t="s">
        <v>73</v>
      </c>
      <c r="D13" s="16" t="s">
        <v>41</v>
      </c>
      <c r="E13" s="17" t="n">
        <v>25</v>
      </c>
      <c r="F13" s="8" t="s">
        <v>54</v>
      </c>
      <c r="G13" s="11" t="n">
        <f aca="false">ROUND(E13*환율!$B$4/1,0)</f>
        <v>13525</v>
      </c>
      <c r="H13" s="18" t="s">
        <v>43</v>
      </c>
      <c r="I13" s="10" t="s">
        <v>74</v>
      </c>
    </row>
    <row r="14" customFormat="false" ht="15" hidden="false" customHeight="true" outlineLevel="0" collapsed="false">
      <c r="A14" s="8" t="s">
        <v>75</v>
      </c>
      <c r="B14" s="4" t="s">
        <v>76</v>
      </c>
      <c r="C14" s="4" t="s">
        <v>62</v>
      </c>
      <c r="D14" s="16" t="s">
        <v>63</v>
      </c>
      <c r="E14" s="17" t="n">
        <v>15</v>
      </c>
      <c r="F14" s="8" t="s">
        <v>54</v>
      </c>
      <c r="G14" s="11" t="n">
        <f aca="false">ROUND(E14*환율!$B$4/1,0)</f>
        <v>8115</v>
      </c>
      <c r="H14" s="18" t="s">
        <v>43</v>
      </c>
      <c r="I14" s="10" t="s">
        <v>77</v>
      </c>
    </row>
    <row r="15" customFormat="false" ht="15" hidden="false" customHeight="true" outlineLevel="0" collapsed="false">
      <c r="A15" s="8" t="s">
        <v>75</v>
      </c>
      <c r="B15" s="4" t="s">
        <v>78</v>
      </c>
      <c r="C15" s="4" t="s">
        <v>79</v>
      </c>
      <c r="D15" s="16" t="s">
        <v>41</v>
      </c>
      <c r="E15" s="17" t="n">
        <v>2</v>
      </c>
      <c r="F15" s="8" t="s">
        <v>54</v>
      </c>
      <c r="G15" s="11" t="n">
        <f aca="false">ROUND(E15*환율!$B$4/1,0)</f>
        <v>1082</v>
      </c>
      <c r="H15" s="18" t="s">
        <v>43</v>
      </c>
      <c r="I15" s="10" t="s">
        <v>80</v>
      </c>
    </row>
    <row r="16" customFormat="false" ht="15" hidden="false" customHeight="true" outlineLevel="0" collapsed="false">
      <c r="A16" s="8" t="s">
        <v>81</v>
      </c>
      <c r="B16" s="4" t="s">
        <v>82</v>
      </c>
      <c r="C16" s="4" t="s">
        <v>83</v>
      </c>
      <c r="D16" s="16" t="s">
        <v>63</v>
      </c>
      <c r="E16" s="17" t="n">
        <v>40</v>
      </c>
      <c r="F16" s="8" t="s">
        <v>54</v>
      </c>
      <c r="G16" s="11" t="n">
        <f aca="false">ROUND(E16*환율!$B$4/1,0)</f>
        <v>21640</v>
      </c>
      <c r="H16" s="18" t="s">
        <v>43</v>
      </c>
      <c r="I16" s="10" t="s">
        <v>84</v>
      </c>
    </row>
    <row r="17" customFormat="false" ht="15" hidden="false" customHeight="true" outlineLevel="0" collapsed="false">
      <c r="A17" s="8" t="s">
        <v>81</v>
      </c>
      <c r="B17" s="4" t="s">
        <v>85</v>
      </c>
      <c r="C17" s="8" t="s">
        <v>86</v>
      </c>
      <c r="D17" s="16" t="s">
        <v>41</v>
      </c>
      <c r="E17" s="17" t="n">
        <v>400</v>
      </c>
      <c r="F17" s="8" t="s">
        <v>87</v>
      </c>
      <c r="G17" s="11" t="n">
        <f aca="false">ROUND(E17*환율!$B$5/1,0)</f>
        <v>1552</v>
      </c>
      <c r="H17" s="18" t="s">
        <v>43</v>
      </c>
      <c r="I17" s="10" t="s">
        <v>88</v>
      </c>
    </row>
    <row r="18" customFormat="false" ht="15" hidden="false" customHeight="true" outlineLevel="0" collapsed="false">
      <c r="A18" s="8" t="s">
        <v>81</v>
      </c>
      <c r="B18" s="4" t="s">
        <v>89</v>
      </c>
      <c r="C18" s="4" t="s">
        <v>62</v>
      </c>
      <c r="D18" s="16" t="s">
        <v>63</v>
      </c>
      <c r="E18" s="17" t="n">
        <v>400</v>
      </c>
      <c r="F18" s="8" t="s">
        <v>87</v>
      </c>
      <c r="G18" s="11" t="n">
        <f aca="false">ROUND(E18*환율!$B$5/1,0)</f>
        <v>1552</v>
      </c>
      <c r="H18" s="18" t="s">
        <v>43</v>
      </c>
      <c r="I18" s="10" t="s">
        <v>90</v>
      </c>
    </row>
    <row r="19" customFormat="false" ht="15" hidden="false" customHeight="true" outlineLevel="0" collapsed="false">
      <c r="A19" s="8" t="s">
        <v>91</v>
      </c>
      <c r="B19" s="4" t="s">
        <v>92</v>
      </c>
      <c r="C19" s="4" t="s">
        <v>62</v>
      </c>
      <c r="D19" s="16" t="s">
        <v>63</v>
      </c>
      <c r="E19" s="17" t="n">
        <v>1900</v>
      </c>
      <c r="F19" s="8" t="s">
        <v>87</v>
      </c>
      <c r="G19" s="11" t="n">
        <f aca="false">ROUND(E19*환율!$B$5/1,0)</f>
        <v>7372</v>
      </c>
      <c r="H19" s="18" t="s">
        <v>43</v>
      </c>
      <c r="I19" s="10" t="s">
        <v>93</v>
      </c>
    </row>
    <row r="20" customFormat="false" ht="15" hidden="false" customHeight="true" outlineLevel="0" collapsed="false">
      <c r="A20" s="8" t="s">
        <v>94</v>
      </c>
      <c r="B20" s="4" t="s">
        <v>95</v>
      </c>
      <c r="C20" s="4" t="s">
        <v>62</v>
      </c>
      <c r="D20" s="16" t="s">
        <v>63</v>
      </c>
      <c r="E20" s="17" t="n">
        <v>2500</v>
      </c>
      <c r="F20" s="8" t="s">
        <v>87</v>
      </c>
      <c r="G20" s="11" t="n">
        <f aca="false">ROUND(E20*환율!$B$5/1,0)</f>
        <v>9700</v>
      </c>
      <c r="H20" s="18" t="s">
        <v>43</v>
      </c>
      <c r="I20" s="10" t="s">
        <v>96</v>
      </c>
    </row>
    <row r="21" customFormat="false" ht="15" hidden="false" customHeight="true" outlineLevel="0" collapsed="false">
      <c r="A21" s="8" t="s">
        <v>94</v>
      </c>
      <c r="B21" s="4" t="s">
        <v>97</v>
      </c>
      <c r="C21" s="4" t="s">
        <v>98</v>
      </c>
      <c r="D21" s="16" t="s">
        <v>41</v>
      </c>
      <c r="E21" s="17" t="n">
        <v>1000</v>
      </c>
      <c r="F21" s="8" t="s">
        <v>87</v>
      </c>
      <c r="G21" s="11" t="n">
        <f aca="false">ROUND(E21*환율!$B$5/1,0)</f>
        <v>3880</v>
      </c>
      <c r="H21" s="18" t="s">
        <v>99</v>
      </c>
      <c r="I21" s="10" t="s">
        <v>100</v>
      </c>
    </row>
    <row r="22" customFormat="false" ht="15" hidden="false" customHeight="true" outlineLevel="0" collapsed="false">
      <c r="A22" s="8" t="s">
        <v>91</v>
      </c>
      <c r="B22" s="4" t="s">
        <v>101</v>
      </c>
      <c r="C22" s="4" t="s">
        <v>102</v>
      </c>
      <c r="D22" s="16" t="s">
        <v>41</v>
      </c>
      <c r="E22" s="17" t="n">
        <v>100</v>
      </c>
      <c r="F22" s="8" t="s">
        <v>87</v>
      </c>
      <c r="G22" s="11" t="n">
        <f aca="false">ROUND(E22*환율!$B$5/1,0)</f>
        <v>388</v>
      </c>
      <c r="H22" s="18" t="s">
        <v>43</v>
      </c>
      <c r="I22" s="10" t="s">
        <v>103</v>
      </c>
    </row>
    <row r="23" customFormat="false" ht="15" hidden="false" customHeight="true" outlineLevel="0" collapsed="false">
      <c r="A23" s="8" t="s">
        <v>104</v>
      </c>
      <c r="B23" s="4" t="s">
        <v>105</v>
      </c>
      <c r="C23" s="4" t="s">
        <v>106</v>
      </c>
      <c r="D23" s="16" t="s">
        <v>41</v>
      </c>
      <c r="E23" s="17" t="n">
        <v>3000</v>
      </c>
      <c r="F23" s="8" t="s">
        <v>87</v>
      </c>
      <c r="G23" s="11" t="n">
        <f aca="false">ROUND(E23*환율!$B$5/1,0)</f>
        <v>11640</v>
      </c>
      <c r="H23" s="18" t="s">
        <v>67</v>
      </c>
      <c r="I23" s="6" t="s">
        <v>107</v>
      </c>
    </row>
    <row r="24" customFormat="false" ht="15" hidden="false" customHeight="true" outlineLevel="0" collapsed="false">
      <c r="A24" s="8" t="s">
        <v>108</v>
      </c>
      <c r="B24" s="4" t="s">
        <v>109</v>
      </c>
      <c r="C24" s="4" t="s">
        <v>62</v>
      </c>
      <c r="D24" s="16" t="s">
        <v>41</v>
      </c>
      <c r="E24" s="17" t="n">
        <v>600</v>
      </c>
      <c r="F24" s="8" t="s">
        <v>87</v>
      </c>
      <c r="G24" s="11" t="n">
        <f aca="false">ROUND(E24*환율!$B$5/1,0)</f>
        <v>2328</v>
      </c>
      <c r="H24" s="18" t="s">
        <v>43</v>
      </c>
      <c r="I24" s="10" t="s">
        <v>110</v>
      </c>
    </row>
    <row r="25" customFormat="false" ht="15" hidden="false" customHeight="true" outlineLevel="0" collapsed="false">
      <c r="A25" s="8" t="s">
        <v>108</v>
      </c>
      <c r="B25" s="4" t="s">
        <v>111</v>
      </c>
      <c r="C25" s="4" t="s">
        <v>62</v>
      </c>
      <c r="D25" s="16" t="s">
        <v>41</v>
      </c>
      <c r="E25" s="17" t="n">
        <v>1200</v>
      </c>
      <c r="F25" s="8" t="s">
        <v>87</v>
      </c>
      <c r="G25" s="11" t="n">
        <f aca="false">ROUND(E25*환율!$B$5/1,0)</f>
        <v>4656</v>
      </c>
      <c r="H25" s="18" t="s">
        <v>99</v>
      </c>
      <c r="I25" s="10" t="s">
        <v>112</v>
      </c>
    </row>
    <row r="26" customFormat="false" ht="15" hidden="false" customHeight="true" outlineLevel="0" collapsed="false">
      <c r="A26" s="8" t="s">
        <v>113</v>
      </c>
      <c r="B26" s="4" t="s">
        <v>114</v>
      </c>
      <c r="C26" s="4" t="s">
        <v>62</v>
      </c>
      <c r="D26" s="16" t="s">
        <v>63</v>
      </c>
      <c r="E26" s="17" t="n">
        <v>3000</v>
      </c>
      <c r="F26" s="8" t="s">
        <v>87</v>
      </c>
      <c r="G26" s="11" t="n">
        <f aca="false">ROUND(E26*환율!$B$5/1,0)</f>
        <v>11640</v>
      </c>
      <c r="H26" s="18" t="s">
        <v>43</v>
      </c>
      <c r="I26" s="10" t="s">
        <v>115</v>
      </c>
    </row>
    <row r="27" customFormat="false" ht="15" hidden="false" customHeight="true" outlineLevel="0" collapsed="false">
      <c r="A27" s="8" t="s">
        <v>113</v>
      </c>
      <c r="B27" s="4" t="s">
        <v>116</v>
      </c>
      <c r="C27" s="4" t="s">
        <v>106</v>
      </c>
      <c r="D27" s="16" t="s">
        <v>41</v>
      </c>
      <c r="E27" s="17" t="n">
        <v>4000</v>
      </c>
      <c r="F27" s="8" t="s">
        <v>87</v>
      </c>
      <c r="G27" s="11" t="n">
        <f aca="false">ROUND(E27*환율!$B$5/1,0)</f>
        <v>15520</v>
      </c>
      <c r="H27" s="18" t="s">
        <v>67</v>
      </c>
      <c r="I27" s="6" t="s">
        <v>117</v>
      </c>
    </row>
    <row r="28" customFormat="false" ht="15" hidden="false" customHeight="true" outlineLevel="0" collapsed="false">
      <c r="A28" s="8" t="s">
        <v>118</v>
      </c>
      <c r="B28" s="4" t="s">
        <v>119</v>
      </c>
      <c r="C28" s="4" t="s">
        <v>106</v>
      </c>
      <c r="D28" s="16" t="s">
        <v>41</v>
      </c>
      <c r="E28" s="17" t="n">
        <v>6000</v>
      </c>
      <c r="F28" s="8" t="s">
        <v>87</v>
      </c>
      <c r="G28" s="11" t="n">
        <f aca="false">ROUND(E28*환율!$B$5/1,0)</f>
        <v>23280</v>
      </c>
      <c r="H28" s="18" t="s">
        <v>67</v>
      </c>
      <c r="I28" s="10" t="s">
        <v>120</v>
      </c>
    </row>
    <row r="29" customFormat="false" ht="15" hidden="false" customHeight="true" outlineLevel="0" collapsed="false">
      <c r="A29" s="8" t="s">
        <v>118</v>
      </c>
      <c r="B29" s="4" t="s">
        <v>121</v>
      </c>
      <c r="C29" s="4" t="s">
        <v>62</v>
      </c>
      <c r="D29" s="16" t="s">
        <v>63</v>
      </c>
      <c r="E29" s="17" t="n">
        <v>3000</v>
      </c>
      <c r="F29" s="8" t="s">
        <v>87</v>
      </c>
      <c r="G29" s="11" t="n">
        <f aca="false">ROUND(E29*환율!$B$5/1,0)</f>
        <v>11640</v>
      </c>
      <c r="H29" s="18" t="s">
        <v>43</v>
      </c>
      <c r="I29" s="6" t="s">
        <v>122</v>
      </c>
    </row>
    <row r="30" customFormat="false" ht="15" hidden="false" customHeight="true" outlineLevel="0" collapsed="false">
      <c r="A30" s="8" t="s">
        <v>94</v>
      </c>
      <c r="B30" s="4" t="s">
        <v>123</v>
      </c>
      <c r="C30" s="4" t="s">
        <v>124</v>
      </c>
      <c r="D30" s="16" t="s">
        <v>41</v>
      </c>
      <c r="E30" s="17" t="n">
        <v>1500</v>
      </c>
      <c r="F30" s="8" t="s">
        <v>87</v>
      </c>
      <c r="G30" s="11" t="n">
        <f aca="false">ROUND(E30*환율!$B$5/1,0)</f>
        <v>5820</v>
      </c>
      <c r="H30" s="18" t="s">
        <v>99</v>
      </c>
      <c r="I30" s="10" t="s">
        <v>125</v>
      </c>
    </row>
    <row r="31" customFormat="false" ht="15" hidden="false" customHeight="true" outlineLevel="0" collapsed="false">
      <c r="A31" s="8" t="s">
        <v>126</v>
      </c>
      <c r="B31" s="4" t="s">
        <v>127</v>
      </c>
      <c r="C31" s="4" t="s">
        <v>106</v>
      </c>
      <c r="D31" s="16" t="s">
        <v>41</v>
      </c>
      <c r="E31" s="17" t="n">
        <v>4000</v>
      </c>
      <c r="F31" s="8" t="s">
        <v>87</v>
      </c>
      <c r="G31" s="11" t="n">
        <f aca="false">ROUND(E31*환율!$B$5/1,0)</f>
        <v>15520</v>
      </c>
      <c r="H31" s="18" t="s">
        <v>99</v>
      </c>
      <c r="I31" s="6" t="s">
        <v>128</v>
      </c>
    </row>
    <row r="32" customFormat="false" ht="15" hidden="false" customHeight="true" outlineLevel="0" collapsed="false">
      <c r="A32" s="8" t="s">
        <v>126</v>
      </c>
      <c r="B32" s="4" t="s">
        <v>129</v>
      </c>
      <c r="C32" s="4" t="s">
        <v>130</v>
      </c>
      <c r="D32" s="16" t="s">
        <v>41</v>
      </c>
      <c r="E32" s="17" t="n">
        <v>10</v>
      </c>
      <c r="F32" s="8" t="s">
        <v>131</v>
      </c>
      <c r="G32" s="11" t="n">
        <f aca="false">ROUND(E32*환율!$B$6/1,0)</f>
        <v>16400</v>
      </c>
      <c r="H32" s="18" t="s">
        <v>43</v>
      </c>
      <c r="I32" s="10" t="s">
        <v>132</v>
      </c>
    </row>
    <row r="33" customFormat="false" ht="15" hidden="false" customHeight="true" outlineLevel="0" collapsed="false">
      <c r="A33" s="8" t="s">
        <v>126</v>
      </c>
      <c r="B33" s="4" t="s">
        <v>133</v>
      </c>
      <c r="C33" s="4" t="s">
        <v>134</v>
      </c>
      <c r="D33" s="16" t="s">
        <v>41</v>
      </c>
      <c r="E33" s="17" t="n">
        <v>6</v>
      </c>
      <c r="F33" s="8" t="s">
        <v>131</v>
      </c>
      <c r="G33" s="11" t="n">
        <f aca="false">ROUND(E33*환율!$B$6/1,0)</f>
        <v>9840</v>
      </c>
      <c r="H33" s="18" t="s">
        <v>43</v>
      </c>
      <c r="I33" s="6" t="s">
        <v>135</v>
      </c>
    </row>
    <row r="34" customFormat="false" ht="15" hidden="false" customHeight="true" outlineLevel="0" collapsed="false">
      <c r="A34" s="8" t="s">
        <v>136</v>
      </c>
      <c r="B34" s="4" t="s">
        <v>137</v>
      </c>
      <c r="C34" s="4" t="s">
        <v>138</v>
      </c>
      <c r="D34" s="16" t="s">
        <v>41</v>
      </c>
      <c r="E34" s="17" t="n">
        <v>6.2</v>
      </c>
      <c r="F34" s="8" t="s">
        <v>131</v>
      </c>
      <c r="G34" s="11" t="n">
        <f aca="false">ROUND(E34*환율!$B$6/1,0)</f>
        <v>10168</v>
      </c>
      <c r="H34" s="18" t="s">
        <v>43</v>
      </c>
      <c r="I34" s="10" t="s">
        <v>139</v>
      </c>
    </row>
    <row r="35" customFormat="false" ht="15" hidden="false" customHeight="true" outlineLevel="0" collapsed="false">
      <c r="A35" s="8" t="s">
        <v>136</v>
      </c>
      <c r="B35" s="4" t="s">
        <v>140</v>
      </c>
      <c r="C35" s="4" t="s">
        <v>106</v>
      </c>
      <c r="D35" s="16" t="s">
        <v>41</v>
      </c>
      <c r="E35" s="17" t="n">
        <v>90</v>
      </c>
      <c r="F35" s="8" t="s">
        <v>141</v>
      </c>
      <c r="G35" s="11" t="n">
        <f aca="false">ROUND(E35*환율!$B$7/1,0)</f>
        <v>34830</v>
      </c>
      <c r="H35" s="18" t="s">
        <v>67</v>
      </c>
      <c r="I35" s="10" t="s">
        <v>142</v>
      </c>
    </row>
    <row r="36" customFormat="false" ht="15" hidden="false" customHeight="true" outlineLevel="0" collapsed="false">
      <c r="A36" s="8" t="s">
        <v>136</v>
      </c>
      <c r="B36" s="4" t="s">
        <v>143</v>
      </c>
      <c r="C36" s="4" t="s">
        <v>106</v>
      </c>
      <c r="D36" s="16" t="s">
        <v>41</v>
      </c>
      <c r="E36" s="17" t="n">
        <v>45</v>
      </c>
      <c r="F36" s="8" t="s">
        <v>141</v>
      </c>
      <c r="G36" s="11" t="n">
        <f aca="false">ROUND(E36*환율!$B$7/1,0)</f>
        <v>17415</v>
      </c>
      <c r="H36" s="18" t="s">
        <v>67</v>
      </c>
      <c r="I36" s="10" t="s">
        <v>144</v>
      </c>
    </row>
    <row r="37" customFormat="false" ht="15" hidden="false" customHeight="true" outlineLevel="0" collapsed="false">
      <c r="A37" s="8" t="s">
        <v>136</v>
      </c>
      <c r="B37" s="4" t="s">
        <v>145</v>
      </c>
      <c r="C37" s="4" t="s">
        <v>106</v>
      </c>
      <c r="D37" s="16" t="s">
        <v>41</v>
      </c>
      <c r="E37" s="17" t="n">
        <v>75</v>
      </c>
      <c r="F37" s="8" t="s">
        <v>141</v>
      </c>
      <c r="G37" s="11" t="n">
        <f aca="false">ROUND(E37*환율!$B$7/1,0)</f>
        <v>29025</v>
      </c>
      <c r="H37" s="18" t="s">
        <v>67</v>
      </c>
      <c r="I37" s="10" t="s">
        <v>146</v>
      </c>
    </row>
    <row r="38" customFormat="false" ht="15" hidden="false" customHeight="true" outlineLevel="0" collapsed="false">
      <c r="A38" s="8" t="s">
        <v>136</v>
      </c>
      <c r="B38" s="4" t="s">
        <v>147</v>
      </c>
      <c r="C38" s="4" t="s">
        <v>106</v>
      </c>
      <c r="D38" s="16" t="s">
        <v>41</v>
      </c>
      <c r="E38" s="17" t="n">
        <v>45</v>
      </c>
      <c r="F38" s="8" t="s">
        <v>141</v>
      </c>
      <c r="G38" s="11" t="n">
        <f aca="false">ROUND(E38*환율!$B$7/1,0)</f>
        <v>17415</v>
      </c>
      <c r="H38" s="18" t="s">
        <v>67</v>
      </c>
      <c r="I38" s="10" t="s">
        <v>148</v>
      </c>
    </row>
    <row r="39" customFormat="false" ht="15" hidden="false" customHeight="true" outlineLevel="0" collapsed="false">
      <c r="A39" s="8" t="s">
        <v>149</v>
      </c>
      <c r="B39" s="4" t="s">
        <v>150</v>
      </c>
      <c r="C39" s="4" t="s">
        <v>151</v>
      </c>
      <c r="D39" s="16" t="s">
        <v>41</v>
      </c>
      <c r="E39" s="17" t="n">
        <v>14</v>
      </c>
      <c r="F39" s="8" t="s">
        <v>141</v>
      </c>
      <c r="G39" s="11" t="n">
        <f aca="false">ROUND(E39*환율!$B$7/1,0)</f>
        <v>5418</v>
      </c>
      <c r="H39" s="18" t="s">
        <v>43</v>
      </c>
      <c r="I39" s="10" t="s">
        <v>152</v>
      </c>
    </row>
    <row r="40" customFormat="false" ht="15" hidden="false" customHeight="true" outlineLevel="0" collapsed="false">
      <c r="A40" s="8" t="s">
        <v>104</v>
      </c>
      <c r="B40" s="4" t="s">
        <v>153</v>
      </c>
      <c r="C40" s="4" t="s">
        <v>154</v>
      </c>
      <c r="D40" s="16" t="s">
        <v>63</v>
      </c>
      <c r="E40" s="17" t="n">
        <v>500</v>
      </c>
      <c r="F40" s="8" t="s">
        <v>87</v>
      </c>
      <c r="G40" s="11" t="n">
        <f aca="false">ROUND(E40*환율!$B$5/1,0)</f>
        <v>1940</v>
      </c>
      <c r="H40" s="18" t="s">
        <v>43</v>
      </c>
      <c r="I40" s="10" t="s">
        <v>155</v>
      </c>
    </row>
    <row r="41" customFormat="false" ht="15" hidden="false" customHeight="true" outlineLevel="0" collapsed="false">
      <c r="A41" s="8" t="s">
        <v>75</v>
      </c>
      <c r="B41" s="4" t="s">
        <v>156</v>
      </c>
      <c r="C41" s="4" t="s">
        <v>157</v>
      </c>
      <c r="D41" s="16" t="s">
        <v>41</v>
      </c>
      <c r="E41" s="17" t="n">
        <v>80</v>
      </c>
      <c r="F41" s="8" t="s">
        <v>54</v>
      </c>
      <c r="G41" s="11" t="n">
        <f aca="false">ROUND(E41*환율!$B$4/1,0)</f>
        <v>43280</v>
      </c>
      <c r="H41" s="18" t="s">
        <v>67</v>
      </c>
      <c r="I41" s="10" t="s">
        <v>158</v>
      </c>
    </row>
    <row r="42" customFormat="false" ht="15" hidden="false" customHeight="true" outlineLevel="0" collapsed="false">
      <c r="A42" s="8" t="s">
        <v>159</v>
      </c>
      <c r="B42" s="4" t="s">
        <v>160</v>
      </c>
      <c r="C42" s="4" t="s">
        <v>62</v>
      </c>
      <c r="D42" s="16" t="s">
        <v>63</v>
      </c>
      <c r="E42" s="17" t="n">
        <v>25</v>
      </c>
      <c r="F42" s="8" t="s">
        <v>54</v>
      </c>
      <c r="G42" s="11" t="n">
        <f aca="false">ROUND(E42*환율!$B$4/1,0)</f>
        <v>13525</v>
      </c>
      <c r="H42" s="18" t="s">
        <v>43</v>
      </c>
      <c r="I42" s="10" t="s">
        <v>161</v>
      </c>
    </row>
    <row r="43" customFormat="false" ht="15" hidden="false" customHeight="true" outlineLevel="0" collapsed="false">
      <c r="A43" s="19" t="s">
        <v>162</v>
      </c>
      <c r="B43" s="20"/>
      <c r="C43" s="20"/>
      <c r="D43" s="20"/>
      <c r="E43" s="20"/>
      <c r="F43" s="20"/>
      <c r="G43" s="21" t="n">
        <f aca="false">SUM(G5:G42)</f>
        <v>400505</v>
      </c>
      <c r="H43" s="20"/>
      <c r="I43" s="20"/>
    </row>
    <row r="44" customFormat="false" ht="16.5" hidden="false" customHeight="true" outlineLevel="0" collapsed="false">
      <c r="A44" s="13" t="s">
        <v>163</v>
      </c>
    </row>
    <row r="45" customFormat="false" ht="15" hidden="false" customHeight="true" outlineLevel="0" collapsed="false">
      <c r="A45" s="12" t="s">
        <v>164</v>
      </c>
    </row>
    <row r="46" customFormat="false" ht="15" hidden="false" customHeight="true" outlineLevel="0" collapsed="false">
      <c r="A46" s="1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4"/>
    <col collapsed="false" customWidth="true" hidden="false" outlineLevel="0" max="3" min="3" style="1" width="12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40"/>
  </cols>
  <sheetData>
    <row r="1" customFormat="false" ht="15.75" hidden="false" customHeight="true" outlineLevel="0" collapsed="false">
      <c r="A1" s="2" t="s">
        <v>165</v>
      </c>
    </row>
    <row r="3" customFormat="false" ht="15" hidden="false" customHeight="true" outlineLevel="0" collapsed="false">
      <c r="A3" s="3" t="s">
        <v>30</v>
      </c>
      <c r="B3" s="3" t="s">
        <v>166</v>
      </c>
      <c r="C3" s="3" t="s">
        <v>34</v>
      </c>
      <c r="D3" s="3" t="s">
        <v>35</v>
      </c>
      <c r="E3" s="3" t="s">
        <v>167</v>
      </c>
      <c r="F3" s="3" t="s">
        <v>3</v>
      </c>
    </row>
    <row r="4" customFormat="false" ht="15" hidden="false" customHeight="true" outlineLevel="0" collapsed="false">
      <c r="A4" s="8" t="s">
        <v>38</v>
      </c>
      <c r="B4" s="4" t="s">
        <v>168</v>
      </c>
      <c r="C4" s="17" t="n">
        <v>40</v>
      </c>
      <c r="D4" s="8" t="s">
        <v>42</v>
      </c>
      <c r="E4" s="11" t="n">
        <f aca="false">ROUND(C4*환율!$B$8,0)</f>
        <v>8440</v>
      </c>
      <c r="F4" s="10" t="s">
        <v>169</v>
      </c>
    </row>
    <row r="5" customFormat="false" ht="15" hidden="false" customHeight="true" outlineLevel="0" collapsed="false">
      <c r="A5" s="8" t="s">
        <v>56</v>
      </c>
      <c r="B5" s="4" t="s">
        <v>170</v>
      </c>
      <c r="C5" s="17" t="n">
        <v>5</v>
      </c>
      <c r="D5" s="8" t="s">
        <v>54</v>
      </c>
      <c r="E5" s="11" t="n">
        <f aca="false">ROUND(C5*환율!$B$4,0)</f>
        <v>2705</v>
      </c>
      <c r="F5" s="10" t="s">
        <v>171</v>
      </c>
    </row>
    <row r="6" customFormat="false" ht="15" hidden="false" customHeight="true" outlineLevel="0" collapsed="false">
      <c r="A6" s="8" t="s">
        <v>56</v>
      </c>
      <c r="B6" s="4" t="s">
        <v>172</v>
      </c>
      <c r="C6" s="17" t="n">
        <v>2</v>
      </c>
      <c r="D6" s="8" t="s">
        <v>54</v>
      </c>
      <c r="E6" s="11" t="n">
        <f aca="false">ROUND(C6*환율!$B$4,0)</f>
        <v>1082</v>
      </c>
      <c r="F6" s="10" t="s">
        <v>173</v>
      </c>
    </row>
    <row r="7" customFormat="false" ht="15" hidden="false" customHeight="true" outlineLevel="0" collapsed="false">
      <c r="A7" s="8" t="s">
        <v>60</v>
      </c>
      <c r="B7" s="4" t="s">
        <v>174</v>
      </c>
      <c r="C7" s="17" t="n">
        <v>0</v>
      </c>
      <c r="D7" s="8" t="s">
        <v>54</v>
      </c>
      <c r="E7" s="11" t="n">
        <f aca="false">ROUND(C7*환율!$B$4,0)</f>
        <v>0</v>
      </c>
      <c r="F7" s="10" t="s">
        <v>175</v>
      </c>
    </row>
    <row r="8" customFormat="false" ht="15" hidden="false" customHeight="true" outlineLevel="0" collapsed="false">
      <c r="A8" s="8" t="s">
        <v>60</v>
      </c>
      <c r="B8" s="4" t="s">
        <v>176</v>
      </c>
      <c r="C8" s="17" t="n">
        <v>0</v>
      </c>
      <c r="D8" s="8" t="s">
        <v>54</v>
      </c>
      <c r="E8" s="11" t="n">
        <f aca="false">ROUND(C8*환율!$B$4,0)</f>
        <v>0</v>
      </c>
      <c r="F8" s="10" t="s">
        <v>175</v>
      </c>
    </row>
    <row r="9" customFormat="false" ht="15" hidden="false" customHeight="true" outlineLevel="0" collapsed="false">
      <c r="A9" s="8" t="s">
        <v>75</v>
      </c>
      <c r="B9" s="4" t="s">
        <v>177</v>
      </c>
      <c r="C9" s="17" t="n">
        <v>0</v>
      </c>
      <c r="D9" s="8" t="s">
        <v>54</v>
      </c>
      <c r="E9" s="11" t="n">
        <f aca="false">ROUND(C9*환율!$B$4,0)</f>
        <v>0</v>
      </c>
      <c r="F9" s="10" t="s">
        <v>175</v>
      </c>
    </row>
    <row r="10" customFormat="false" ht="15" hidden="false" customHeight="true" outlineLevel="0" collapsed="false">
      <c r="A10" s="8" t="s">
        <v>81</v>
      </c>
      <c r="B10" s="4" t="s">
        <v>178</v>
      </c>
      <c r="C10" s="17" t="n">
        <v>0</v>
      </c>
      <c r="D10" s="8" t="s">
        <v>87</v>
      </c>
      <c r="E10" s="11" t="n">
        <f aca="false">ROUND(C10*환율!$B$5,0)</f>
        <v>0</v>
      </c>
      <c r="F10" s="10" t="s">
        <v>175</v>
      </c>
    </row>
    <row r="11" customFormat="false" ht="15" hidden="false" customHeight="true" outlineLevel="0" collapsed="false">
      <c r="A11" s="8" t="s">
        <v>159</v>
      </c>
      <c r="B11" s="4" t="s">
        <v>179</v>
      </c>
      <c r="C11" s="17" t="n">
        <v>15</v>
      </c>
      <c r="D11" s="8" t="s">
        <v>54</v>
      </c>
      <c r="E11" s="11" t="n">
        <f aca="false">ROUND(C11*환율!$B$4,0)</f>
        <v>8115</v>
      </c>
      <c r="F11" s="10" t="s">
        <v>180</v>
      </c>
    </row>
    <row r="12" customFormat="false" ht="15" hidden="false" customHeight="true" outlineLevel="0" collapsed="false">
      <c r="A12" s="8" t="s">
        <v>81</v>
      </c>
      <c r="B12" s="4" t="s">
        <v>181</v>
      </c>
      <c r="C12" s="17" t="n">
        <v>0</v>
      </c>
      <c r="D12" s="8" t="s">
        <v>87</v>
      </c>
      <c r="E12" s="11" t="n">
        <f aca="false">ROUND(C12*환율!$B$5,0)</f>
        <v>0</v>
      </c>
      <c r="F12" s="10" t="s">
        <v>175</v>
      </c>
    </row>
    <row r="13" customFormat="false" ht="15" hidden="false" customHeight="true" outlineLevel="0" collapsed="false">
      <c r="A13" s="8" t="s">
        <v>94</v>
      </c>
      <c r="B13" s="4" t="s">
        <v>182</v>
      </c>
      <c r="C13" s="17" t="n">
        <v>0</v>
      </c>
      <c r="D13" s="8" t="s">
        <v>87</v>
      </c>
      <c r="E13" s="11" t="n">
        <f aca="false">ROUND(C13*환율!$B$5,0)</f>
        <v>0</v>
      </c>
      <c r="F13" s="10" t="s">
        <v>175</v>
      </c>
    </row>
    <row r="14" customFormat="false" ht="15" hidden="false" customHeight="true" outlineLevel="0" collapsed="false">
      <c r="A14" s="8" t="s">
        <v>104</v>
      </c>
      <c r="B14" s="4" t="s">
        <v>183</v>
      </c>
      <c r="C14" s="17" t="n">
        <v>1800</v>
      </c>
      <c r="D14" s="8" t="s">
        <v>87</v>
      </c>
      <c r="E14" s="11" t="n">
        <f aca="false">ROUND(C14*환율!$B$5,0)</f>
        <v>6984</v>
      </c>
      <c r="F14" s="10" t="s">
        <v>184</v>
      </c>
    </row>
    <row r="15" customFormat="false" ht="15" hidden="false" customHeight="true" outlineLevel="0" collapsed="false">
      <c r="A15" s="8" t="s">
        <v>104</v>
      </c>
      <c r="B15" s="4" t="s">
        <v>185</v>
      </c>
      <c r="C15" s="17" t="n">
        <v>0</v>
      </c>
      <c r="D15" s="8" t="s">
        <v>87</v>
      </c>
      <c r="E15" s="11" t="n">
        <f aca="false">ROUND(C15*환율!$B$5,0)</f>
        <v>0</v>
      </c>
      <c r="F15" s="10" t="s">
        <v>175</v>
      </c>
    </row>
    <row r="16" customFormat="false" ht="15" hidden="false" customHeight="true" outlineLevel="0" collapsed="false">
      <c r="A16" s="8" t="s">
        <v>108</v>
      </c>
      <c r="B16" s="4" t="s">
        <v>186</v>
      </c>
      <c r="C16" s="17" t="n">
        <v>1500</v>
      </c>
      <c r="D16" s="8" t="s">
        <v>87</v>
      </c>
      <c r="E16" s="11" t="n">
        <f aca="false">ROUND(C16*환율!$B$5,0)</f>
        <v>5820</v>
      </c>
      <c r="F16" s="10" t="s">
        <v>187</v>
      </c>
    </row>
    <row r="17" customFormat="false" ht="15" hidden="false" customHeight="true" outlineLevel="0" collapsed="false">
      <c r="A17" s="8" t="s">
        <v>108</v>
      </c>
      <c r="B17" s="4" t="s">
        <v>188</v>
      </c>
      <c r="C17" s="17" t="n">
        <v>0</v>
      </c>
      <c r="D17" s="8" t="s">
        <v>87</v>
      </c>
      <c r="E17" s="11" t="n">
        <f aca="false">ROUND(C17*환율!$B$5,0)</f>
        <v>0</v>
      </c>
      <c r="F17" s="10" t="s">
        <v>175</v>
      </c>
    </row>
    <row r="18" customFormat="false" ht="15" hidden="false" customHeight="true" outlineLevel="0" collapsed="false">
      <c r="A18" s="8" t="s">
        <v>113</v>
      </c>
      <c r="B18" s="4" t="s">
        <v>189</v>
      </c>
      <c r="C18" s="17" t="n">
        <v>0</v>
      </c>
      <c r="D18" s="8" t="s">
        <v>87</v>
      </c>
      <c r="E18" s="11" t="n">
        <f aca="false">ROUND(C18*환율!$B$5,0)</f>
        <v>0</v>
      </c>
      <c r="F18" s="10" t="s">
        <v>175</v>
      </c>
    </row>
    <row r="19" customFormat="false" ht="15" hidden="false" customHeight="true" outlineLevel="0" collapsed="false">
      <c r="A19" s="8" t="s">
        <v>118</v>
      </c>
      <c r="B19" s="4" t="s">
        <v>190</v>
      </c>
      <c r="C19" s="17" t="n">
        <v>8000</v>
      </c>
      <c r="D19" s="8" t="s">
        <v>87</v>
      </c>
      <c r="E19" s="11" t="n">
        <f aca="false">ROUND(C19*환율!$B$5,0)</f>
        <v>31040</v>
      </c>
      <c r="F19" s="10" t="s">
        <v>191</v>
      </c>
    </row>
    <row r="20" customFormat="false" ht="15" hidden="false" customHeight="true" outlineLevel="0" collapsed="false">
      <c r="A20" s="8" t="s">
        <v>118</v>
      </c>
      <c r="B20" s="4" t="s">
        <v>192</v>
      </c>
      <c r="C20" s="17" t="n">
        <v>0</v>
      </c>
      <c r="D20" s="8" t="s">
        <v>87</v>
      </c>
      <c r="E20" s="11" t="n">
        <f aca="false">ROUND(C20*환율!$B$5,0)</f>
        <v>0</v>
      </c>
      <c r="F20" s="10" t="s">
        <v>175</v>
      </c>
    </row>
    <row r="21" customFormat="false" ht="15" hidden="false" customHeight="true" outlineLevel="0" collapsed="false">
      <c r="A21" s="8" t="s">
        <v>126</v>
      </c>
      <c r="B21" s="4" t="s">
        <v>193</v>
      </c>
      <c r="C21" s="17" t="n">
        <v>30</v>
      </c>
      <c r="D21" s="8" t="s">
        <v>131</v>
      </c>
      <c r="E21" s="11" t="n">
        <f aca="false">ROUND(C21*환율!$B$6,0)</f>
        <v>49200</v>
      </c>
      <c r="F21" s="10" t="s">
        <v>194</v>
      </c>
    </row>
    <row r="22" customFormat="false" ht="15" hidden="false" customHeight="true" outlineLevel="0" collapsed="false">
      <c r="A22" s="8" t="s">
        <v>126</v>
      </c>
      <c r="B22" s="4" t="s">
        <v>195</v>
      </c>
      <c r="C22" s="17" t="n">
        <v>20</v>
      </c>
      <c r="D22" s="8" t="s">
        <v>131</v>
      </c>
      <c r="E22" s="11" t="n">
        <f aca="false">ROUND(C22*환율!$B$6,0)</f>
        <v>32800</v>
      </c>
      <c r="F22" s="10" t="s">
        <v>196</v>
      </c>
    </row>
    <row r="23" customFormat="false" ht="15" hidden="false" customHeight="true" outlineLevel="0" collapsed="false">
      <c r="A23" s="8" t="s">
        <v>126</v>
      </c>
      <c r="B23" s="4" t="s">
        <v>197</v>
      </c>
      <c r="C23" s="17" t="n">
        <v>20</v>
      </c>
      <c r="D23" s="8" t="s">
        <v>131</v>
      </c>
      <c r="E23" s="11" t="n">
        <f aca="false">ROUND(C23*환율!$B$6,0)</f>
        <v>32800</v>
      </c>
      <c r="F23" s="10" t="s">
        <v>198</v>
      </c>
    </row>
    <row r="24" customFormat="false" ht="15" hidden="false" customHeight="true" outlineLevel="0" collapsed="false">
      <c r="A24" s="8" t="s">
        <v>136</v>
      </c>
      <c r="B24" s="4" t="s">
        <v>199</v>
      </c>
      <c r="C24" s="17" t="n">
        <v>63</v>
      </c>
      <c r="D24" s="8" t="s">
        <v>141</v>
      </c>
      <c r="E24" s="11" t="n">
        <f aca="false">ROUND(C24*환율!$B$7,0)</f>
        <v>24381</v>
      </c>
      <c r="F24" s="10" t="s">
        <v>200</v>
      </c>
    </row>
    <row r="25" customFormat="false" ht="15" hidden="false" customHeight="true" outlineLevel="0" collapsed="false">
      <c r="A25" s="8" t="s">
        <v>136</v>
      </c>
      <c r="B25" s="4" t="s">
        <v>201</v>
      </c>
      <c r="C25" s="17" t="n">
        <v>0</v>
      </c>
      <c r="D25" s="8" t="s">
        <v>141</v>
      </c>
      <c r="E25" s="11" t="n">
        <f aca="false">ROUND(C25*환율!$B$7,0)</f>
        <v>0</v>
      </c>
      <c r="F25" s="10" t="s">
        <v>175</v>
      </c>
    </row>
    <row r="26" customFormat="false" ht="15" hidden="false" customHeight="true" outlineLevel="0" collapsed="false">
      <c r="A26" s="20"/>
      <c r="B26" s="19" t="s">
        <v>202</v>
      </c>
      <c r="C26" s="20"/>
      <c r="D26" s="20"/>
      <c r="E26" s="21" t="n">
        <f aca="false">SUM(E4:E25)</f>
        <v>203367</v>
      </c>
      <c r="F26" s="20"/>
    </row>
    <row r="27" customFormat="false" ht="15" hidden="false" customHeight="true" outlineLevel="0" collapsed="false"/>
    <row r="28" customFormat="false" ht="15" hidden="false" customHeight="true" outlineLevel="0" collapsed="false">
      <c r="A28" s="12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30"/>
    <col collapsed="false" customWidth="true" hidden="false" outlineLevel="0" max="4" min="4" style="1" width="13"/>
    <col collapsed="false" customWidth="true" hidden="false" outlineLevel="0" max="6" min="5" style="1" width="11"/>
    <col collapsed="false" customWidth="true" hidden="false" outlineLevel="0" max="7" min="7" style="1" width="9"/>
    <col collapsed="false" customWidth="true" hidden="false" outlineLevel="0" max="10" min="8" style="1" width="12"/>
    <col collapsed="false" customWidth="true" hidden="false" outlineLevel="0" max="11" min="11" style="1" width="13"/>
  </cols>
  <sheetData>
    <row r="1" customFormat="false" ht="19.5" hidden="false" customHeight="true" outlineLevel="0" collapsed="false">
      <c r="A1" s="2" t="s">
        <v>204</v>
      </c>
    </row>
    <row r="2" customFormat="false" ht="15" hidden="false" customHeight="true" outlineLevel="0" collapsed="false">
      <c r="A2" s="12" t="s">
        <v>205</v>
      </c>
    </row>
    <row r="4" customFormat="false" ht="15" hidden="false" customHeight="true" outlineLevel="0" collapsed="false">
      <c r="A4" s="22" t="s">
        <v>30</v>
      </c>
      <c r="B4" s="22" t="s">
        <v>206</v>
      </c>
      <c r="C4" s="22" t="s">
        <v>207</v>
      </c>
      <c r="D4" s="22" t="s">
        <v>208</v>
      </c>
      <c r="E4" s="22" t="s">
        <v>209</v>
      </c>
      <c r="F4" s="22" t="s">
        <v>210</v>
      </c>
      <c r="G4" s="22" t="s">
        <v>211</v>
      </c>
      <c r="H4" s="22" t="s">
        <v>212</v>
      </c>
      <c r="I4" s="22" t="s">
        <v>213</v>
      </c>
      <c r="J4" s="22" t="s">
        <v>214</v>
      </c>
      <c r="K4" s="22" t="s">
        <v>215</v>
      </c>
    </row>
    <row r="5" customFormat="false" ht="15" hidden="false" customHeight="true" outlineLevel="0" collapsed="false">
      <c r="A5" s="23" t="s">
        <v>38</v>
      </c>
      <c r="B5" s="24" t="s">
        <v>216</v>
      </c>
      <c r="C5" s="24" t="s">
        <v>217</v>
      </c>
      <c r="D5" s="17" t="n">
        <f aca="false">SUMIF(입장료!$A$4:$A$25,A5,입장료!$E$4:$E$25)</f>
        <v>8440</v>
      </c>
      <c r="E5" s="17" t="n">
        <v>25000</v>
      </c>
      <c r="F5" s="25" t="n">
        <v>28907</v>
      </c>
      <c r="G5" s="17" t="n">
        <v>6000</v>
      </c>
      <c r="H5" s="17" t="n">
        <f aca="false">SUMIFS(교통상세!$G$5:$G$42,교통상세!$A$5:$A$42,A5,교통상세!$D$5:$D$42,"시외")</f>
        <v>0</v>
      </c>
      <c r="I5" s="17" t="n">
        <f aca="false">SUMIFS(교통상세!$G$5:$G$42,교통상세!$A$5:$A$42,A5,교통상세!$D$5:$D$42,"시내")</f>
        <v>2743</v>
      </c>
      <c r="J5" s="11" t="n">
        <f aca="false">SUM(D5:I5)</f>
        <v>71090</v>
      </c>
      <c r="K5" s="25" t="n">
        <f aca="false">J5</f>
        <v>71090</v>
      </c>
    </row>
    <row r="6" customFormat="false" ht="15" hidden="false" customHeight="true" outlineLevel="0" collapsed="false">
      <c r="A6" s="26" t="s">
        <v>48</v>
      </c>
      <c r="B6" s="27" t="s">
        <v>218</v>
      </c>
      <c r="C6" s="27" t="s">
        <v>219</v>
      </c>
      <c r="D6" s="17" t="n">
        <f aca="false">SUMIF(입장료!$A$4:$A$25,A6,입장료!$E$4:$E$25)</f>
        <v>0</v>
      </c>
      <c r="E6" s="17" t="n">
        <v>20000</v>
      </c>
      <c r="F6" s="25" t="n">
        <v>15689</v>
      </c>
      <c r="G6" s="17" t="n">
        <v>0</v>
      </c>
      <c r="H6" s="17" t="n">
        <f aca="false">SUMIFS(교통상세!$G$5:$G$42,교통상세!$A$5:$A$42,A6,교통상세!$D$5:$D$42,"시외")</f>
        <v>0</v>
      </c>
      <c r="I6" s="17" t="n">
        <f aca="false">SUMIFS(교통상세!$G$5:$G$42,교통상세!$A$5:$A$42,A6,교통상세!$D$5:$D$42,"시내")</f>
        <v>2229</v>
      </c>
      <c r="J6" s="11" t="n">
        <f aca="false">SUM(D6:I6)</f>
        <v>37918</v>
      </c>
      <c r="K6" s="25" t="n">
        <f aca="false">K5+J6</f>
        <v>109008</v>
      </c>
    </row>
    <row r="7" customFormat="false" ht="15" hidden="false" customHeight="true" outlineLevel="0" collapsed="false">
      <c r="A7" s="26" t="s">
        <v>56</v>
      </c>
      <c r="B7" s="27" t="s">
        <v>220</v>
      </c>
      <c r="C7" s="27" t="s">
        <v>221</v>
      </c>
      <c r="D7" s="17" t="n">
        <f aca="false">SUMIF(입장료!$A$4:$A$25,A7,입장료!$E$4:$E$25)</f>
        <v>3787</v>
      </c>
      <c r="E7" s="17" t="n">
        <v>25000</v>
      </c>
      <c r="F7" s="25" t="n">
        <v>15689</v>
      </c>
      <c r="G7" s="17" t="n">
        <v>6000</v>
      </c>
      <c r="H7" s="17" t="n">
        <f aca="false">SUMIFS(교통상세!$G$5:$G$42,교통상세!$A$5:$A$42,A7,교통상세!$D$5:$D$42,"시외")</f>
        <v>0</v>
      </c>
      <c r="I7" s="17" t="n">
        <f aca="false">SUMIFS(교통상세!$G$5:$G$42,교통상세!$A$5:$A$42,A7,교통상세!$D$5:$D$42,"시내")</f>
        <v>2164</v>
      </c>
      <c r="J7" s="11" t="n">
        <f aca="false">SUM(D7:I7)</f>
        <v>52640</v>
      </c>
      <c r="K7" s="25" t="n">
        <f aca="false">K6+J7</f>
        <v>161648</v>
      </c>
    </row>
    <row r="8" customFormat="false" ht="15" hidden="false" customHeight="true" outlineLevel="0" collapsed="false">
      <c r="A8" s="26" t="s">
        <v>60</v>
      </c>
      <c r="B8" s="27" t="s">
        <v>222</v>
      </c>
      <c r="C8" s="27" t="s">
        <v>223</v>
      </c>
      <c r="D8" s="17" t="n">
        <f aca="false">SUMIF(입장료!$A$4:$A$25,A8,입장료!$E$4:$E$25)</f>
        <v>0</v>
      </c>
      <c r="E8" s="17" t="n">
        <v>25000</v>
      </c>
      <c r="F8" s="25" t="n">
        <v>15689</v>
      </c>
      <c r="G8" s="17" t="n">
        <v>6000</v>
      </c>
      <c r="H8" s="17" t="n">
        <f aca="false">SUMIFS(교통상세!$G$5:$G$42,교통상세!$A$5:$A$42,A8,교통상세!$D$5:$D$42,"시외")</f>
        <v>1623</v>
      </c>
      <c r="I8" s="17" t="n">
        <f aca="false">SUMIFS(교통상세!$G$5:$G$42,교통상세!$A$5:$A$42,A8,교통상세!$D$5:$D$42,"시내")</f>
        <v>13525</v>
      </c>
      <c r="J8" s="11" t="n">
        <f aca="false">SUM(D8:I8)</f>
        <v>61837</v>
      </c>
      <c r="K8" s="25" t="n">
        <f aca="false">K7+J8</f>
        <v>223485</v>
      </c>
    </row>
    <row r="9" customFormat="false" ht="15" hidden="false" customHeight="true" outlineLevel="0" collapsed="false">
      <c r="A9" s="26" t="s">
        <v>69</v>
      </c>
      <c r="B9" s="27" t="s">
        <v>224</v>
      </c>
      <c r="C9" s="27" t="s">
        <v>225</v>
      </c>
      <c r="D9" s="17" t="n">
        <f aca="false">SUMIF(입장료!$A$4:$A$25,A9,입장료!$E$4:$E$25)</f>
        <v>0</v>
      </c>
      <c r="E9" s="17" t="n">
        <v>25000</v>
      </c>
      <c r="F9" s="17" t="n">
        <v>28000</v>
      </c>
      <c r="G9" s="17" t="n">
        <v>5000</v>
      </c>
      <c r="H9" s="17" t="n">
        <f aca="false">SUMIFS(교통상세!$G$5:$G$42,교통상세!$A$5:$A$42,A9,교통상세!$D$5:$D$42,"시외")</f>
        <v>8115</v>
      </c>
      <c r="I9" s="17" t="n">
        <f aca="false">SUMIFS(교통상세!$G$5:$G$42,교통상세!$A$5:$A$42,A9,교통상세!$D$5:$D$42,"시내")</f>
        <v>13525</v>
      </c>
      <c r="J9" s="11" t="n">
        <f aca="false">SUM(D9:I9)</f>
        <v>79640</v>
      </c>
      <c r="K9" s="25" t="n">
        <f aca="false">K8+J9</f>
        <v>303125</v>
      </c>
    </row>
    <row r="10" customFormat="false" ht="15" hidden="false" customHeight="true" outlineLevel="0" collapsed="false">
      <c r="A10" s="26" t="s">
        <v>75</v>
      </c>
      <c r="B10" s="27" t="s">
        <v>226</v>
      </c>
      <c r="C10" s="27" t="s">
        <v>227</v>
      </c>
      <c r="D10" s="17" t="n">
        <f aca="false">SUMIF(입장료!$A$4:$A$25,A10,입장료!$E$4:$E$25)</f>
        <v>0</v>
      </c>
      <c r="E10" s="17" t="n">
        <v>25000</v>
      </c>
      <c r="F10" s="17" t="n">
        <v>15689</v>
      </c>
      <c r="G10" s="17" t="n">
        <v>5000</v>
      </c>
      <c r="H10" s="17" t="n">
        <f aca="false">SUMIFS(교통상세!$G$5:$G$42,교통상세!$A$5:$A$42,A10,교통상세!$D$5:$D$42,"시외")</f>
        <v>8115</v>
      </c>
      <c r="I10" s="17" t="n">
        <f aca="false">SUMIFS(교통상세!$G$5:$G$42,교통상세!$A$5:$A$42,A10,교통상세!$D$5:$D$42,"시내")</f>
        <v>44362</v>
      </c>
      <c r="J10" s="11" t="n">
        <f aca="false">SUM(D10:I10)</f>
        <v>98166</v>
      </c>
      <c r="K10" s="25" t="n">
        <f aca="false">K9+J10</f>
        <v>401291</v>
      </c>
    </row>
    <row r="11" customFormat="false" ht="15" hidden="false" customHeight="true" outlineLevel="0" collapsed="false">
      <c r="A11" s="26" t="s">
        <v>159</v>
      </c>
      <c r="B11" s="27" t="s">
        <v>228</v>
      </c>
      <c r="C11" s="27" t="s">
        <v>229</v>
      </c>
      <c r="D11" s="17" t="n">
        <f aca="false">SUMIF(입장료!$A$4:$A$25,A11,입장료!$E$4:$E$25)</f>
        <v>8115</v>
      </c>
      <c r="E11" s="17" t="n">
        <v>25000</v>
      </c>
      <c r="F11" s="17" t="n">
        <v>15689</v>
      </c>
      <c r="G11" s="17" t="n">
        <v>5000</v>
      </c>
      <c r="H11" s="17" t="n">
        <f aca="false">SUMIFS(교통상세!$G$5:$G$42,교통상세!$A$5:$A$42,A11,교통상세!$D$5:$D$42,"시외")</f>
        <v>13525</v>
      </c>
      <c r="I11" s="17" t="n">
        <f aca="false">SUMIFS(교통상세!$G$5:$G$42,교통상세!$A$5:$A$42,A11,교통상세!$D$5:$D$42,"시내")</f>
        <v>0</v>
      </c>
      <c r="J11" s="11" t="n">
        <f aca="false">SUM(D11:I11)</f>
        <v>67329</v>
      </c>
      <c r="K11" s="25" t="n">
        <f aca="false">K10+J11</f>
        <v>468620</v>
      </c>
    </row>
    <row r="12" customFormat="false" ht="15" hidden="false" customHeight="true" outlineLevel="0" collapsed="false">
      <c r="A12" s="28" t="s">
        <v>81</v>
      </c>
      <c r="B12" s="29" t="s">
        <v>216</v>
      </c>
      <c r="C12" s="29" t="s">
        <v>230</v>
      </c>
      <c r="D12" s="17" t="n">
        <f aca="false">SUMIF(입장료!$A$4:$A$25,A12,입장료!$E$4:$E$25)</f>
        <v>0</v>
      </c>
      <c r="E12" s="17" t="n">
        <v>25000</v>
      </c>
      <c r="F12" s="17" t="n">
        <v>25000</v>
      </c>
      <c r="G12" s="17" t="n">
        <v>5000</v>
      </c>
      <c r="H12" s="17" t="n">
        <f aca="false">SUMIFS(교통상세!$G$5:$G$42,교통상세!$A$5:$A$42,A12,교통상세!$D$5:$D$42,"시외")</f>
        <v>23192</v>
      </c>
      <c r="I12" s="17" t="n">
        <f aca="false">SUMIFS(교통상세!$G$5:$G$42,교통상세!$A$5:$A$42,A12,교통상세!$D$5:$D$42,"시내")</f>
        <v>1552</v>
      </c>
      <c r="J12" s="11" t="n">
        <f aca="false">SUM(D12:I12)</f>
        <v>79744</v>
      </c>
      <c r="K12" s="25" t="n">
        <f aca="false">K11+J12</f>
        <v>548364</v>
      </c>
    </row>
    <row r="13" customFormat="false" ht="15" hidden="false" customHeight="true" outlineLevel="0" collapsed="false">
      <c r="A13" s="28" t="s">
        <v>91</v>
      </c>
      <c r="B13" s="29" t="s">
        <v>218</v>
      </c>
      <c r="C13" s="29" t="s">
        <v>231</v>
      </c>
      <c r="D13" s="17" t="n">
        <f aca="false">SUMIF(입장료!$A$4:$A$25,A13,입장료!$E$4:$E$25)</f>
        <v>0</v>
      </c>
      <c r="E13" s="17" t="n">
        <v>27000</v>
      </c>
      <c r="F13" s="17" t="n">
        <v>20000</v>
      </c>
      <c r="G13" s="17" t="n">
        <v>5000</v>
      </c>
      <c r="H13" s="17" t="n">
        <f aca="false">SUMIFS(교통상세!$G$5:$G$42,교통상세!$A$5:$A$42,A13,교통상세!$D$5:$D$42,"시외")</f>
        <v>7372</v>
      </c>
      <c r="I13" s="17" t="n">
        <f aca="false">SUMIFS(교통상세!$G$5:$G$42,교통상세!$A$5:$A$42,A13,교통상세!$D$5:$D$42,"시내")</f>
        <v>388</v>
      </c>
      <c r="J13" s="11" t="n">
        <f aca="false">SUM(D13:I13)</f>
        <v>59760</v>
      </c>
      <c r="K13" s="25" t="n">
        <f aca="false">K12+J13</f>
        <v>608124</v>
      </c>
    </row>
    <row r="14" customFormat="false" ht="15" hidden="false" customHeight="true" outlineLevel="0" collapsed="false">
      <c r="A14" s="28" t="s">
        <v>104</v>
      </c>
      <c r="B14" s="29" t="s">
        <v>220</v>
      </c>
      <c r="C14" s="29" t="s">
        <v>232</v>
      </c>
      <c r="D14" s="17" t="n">
        <f aca="false">SUMIF(입장료!$A$4:$A$25,A14,입장료!$E$4:$E$25)</f>
        <v>6984</v>
      </c>
      <c r="E14" s="17" t="n">
        <v>30000</v>
      </c>
      <c r="F14" s="17" t="n">
        <v>20000</v>
      </c>
      <c r="G14" s="17" t="n">
        <v>6000</v>
      </c>
      <c r="H14" s="17" t="n">
        <f aca="false">SUMIFS(교통상세!$G$5:$G$42,교통상세!$A$5:$A$42,A14,교통상세!$D$5:$D$42,"시외")</f>
        <v>1940</v>
      </c>
      <c r="I14" s="17" t="n">
        <f aca="false">SUMIFS(교통상세!$G$5:$G$42,교통상세!$A$5:$A$42,A14,교통상세!$D$5:$D$42,"시내")</f>
        <v>11640</v>
      </c>
      <c r="J14" s="11" t="n">
        <f aca="false">SUM(D14:I14)</f>
        <v>76564</v>
      </c>
      <c r="K14" s="25" t="n">
        <f aca="false">K13+J14</f>
        <v>684688</v>
      </c>
    </row>
    <row r="15" customFormat="false" ht="15" hidden="false" customHeight="true" outlineLevel="0" collapsed="false">
      <c r="A15" s="28" t="s">
        <v>108</v>
      </c>
      <c r="B15" s="29" t="s">
        <v>222</v>
      </c>
      <c r="C15" s="29" t="s">
        <v>233</v>
      </c>
      <c r="D15" s="17" t="n">
        <f aca="false">SUMIF(입장료!$A$4:$A$25,A15,입장료!$E$4:$E$25)</f>
        <v>5820</v>
      </c>
      <c r="E15" s="17" t="n">
        <v>30000</v>
      </c>
      <c r="F15" s="17" t="n">
        <v>20000</v>
      </c>
      <c r="G15" s="17" t="n">
        <v>6000</v>
      </c>
      <c r="H15" s="17" t="n">
        <f aca="false">SUMIFS(교통상세!$G$5:$G$42,교통상세!$A$5:$A$42,A15,교통상세!$D$5:$D$42,"시외")</f>
        <v>0</v>
      </c>
      <c r="I15" s="17" t="n">
        <f aca="false">SUMIFS(교통상세!$G$5:$G$42,교통상세!$A$5:$A$42,A15,교통상세!$D$5:$D$42,"시내")</f>
        <v>6984</v>
      </c>
      <c r="J15" s="11" t="n">
        <f aca="false">SUM(D15:I15)</f>
        <v>68804</v>
      </c>
      <c r="K15" s="25" t="n">
        <f aca="false">K14+J15</f>
        <v>753492</v>
      </c>
    </row>
    <row r="16" customFormat="false" ht="15" hidden="false" customHeight="true" outlineLevel="0" collapsed="false">
      <c r="A16" s="28" t="s">
        <v>113</v>
      </c>
      <c r="B16" s="29" t="s">
        <v>224</v>
      </c>
      <c r="C16" s="29" t="s">
        <v>234</v>
      </c>
      <c r="D16" s="17" t="n">
        <f aca="false">SUMIF(입장료!$A$4:$A$25,A16,입장료!$E$4:$E$25)</f>
        <v>0</v>
      </c>
      <c r="E16" s="17" t="n">
        <v>30000</v>
      </c>
      <c r="F16" s="17" t="n">
        <v>25000</v>
      </c>
      <c r="G16" s="17" t="n">
        <v>5000</v>
      </c>
      <c r="H16" s="17" t="n">
        <f aca="false">SUMIFS(교통상세!$G$5:$G$42,교통상세!$A$5:$A$42,A16,교통상세!$D$5:$D$42,"시외")</f>
        <v>11640</v>
      </c>
      <c r="I16" s="17" t="n">
        <f aca="false">SUMIFS(교통상세!$G$5:$G$42,교통상세!$A$5:$A$42,A16,교통상세!$D$5:$D$42,"시내")</f>
        <v>15520</v>
      </c>
      <c r="J16" s="11" t="n">
        <f aca="false">SUM(D16:I16)</f>
        <v>87160</v>
      </c>
      <c r="K16" s="25" t="n">
        <f aca="false">K15+J16</f>
        <v>840652</v>
      </c>
    </row>
    <row r="17" customFormat="false" ht="15" hidden="false" customHeight="true" outlineLevel="0" collapsed="false">
      <c r="A17" s="28" t="s">
        <v>118</v>
      </c>
      <c r="B17" s="29" t="s">
        <v>226</v>
      </c>
      <c r="C17" s="29" t="s">
        <v>235</v>
      </c>
      <c r="D17" s="17" t="n">
        <f aca="false">SUMIF(입장료!$A$4:$A$25,A17,입장료!$E$4:$E$25)</f>
        <v>31040</v>
      </c>
      <c r="E17" s="17" t="n">
        <v>30000</v>
      </c>
      <c r="F17" s="17" t="n">
        <v>20000</v>
      </c>
      <c r="G17" s="17" t="n">
        <v>5000</v>
      </c>
      <c r="H17" s="17" t="n">
        <f aca="false">SUMIFS(교통상세!$G$5:$G$42,교통상세!$A$5:$A$42,A17,교통상세!$D$5:$D$42,"시외")</f>
        <v>11640</v>
      </c>
      <c r="I17" s="17" t="n">
        <f aca="false">SUMIFS(교통상세!$G$5:$G$42,교통상세!$A$5:$A$42,A17,교통상세!$D$5:$D$42,"시내")</f>
        <v>23280</v>
      </c>
      <c r="J17" s="11" t="n">
        <f aca="false">SUM(D17:I17)</f>
        <v>120960</v>
      </c>
      <c r="K17" s="25" t="n">
        <f aca="false">K16+J17</f>
        <v>961612</v>
      </c>
    </row>
    <row r="18" customFormat="false" ht="15" hidden="false" customHeight="true" outlineLevel="0" collapsed="false">
      <c r="A18" s="28" t="s">
        <v>94</v>
      </c>
      <c r="B18" s="29" t="s">
        <v>228</v>
      </c>
      <c r="C18" s="29" t="s">
        <v>236</v>
      </c>
      <c r="D18" s="17" t="n">
        <f aca="false">SUMIF(입장료!$A$4:$A$25,A18,입장료!$E$4:$E$25)</f>
        <v>0</v>
      </c>
      <c r="E18" s="17" t="n">
        <v>27000</v>
      </c>
      <c r="F18" s="17" t="n">
        <v>20000</v>
      </c>
      <c r="G18" s="17" t="n">
        <v>6000</v>
      </c>
      <c r="H18" s="17" t="n">
        <f aca="false">SUMIFS(교통상세!$G$5:$G$42,교통상세!$A$5:$A$42,A18,교통상세!$D$5:$D$42,"시외")</f>
        <v>9700</v>
      </c>
      <c r="I18" s="17" t="n">
        <f aca="false">SUMIFS(교통상세!$G$5:$G$42,교통상세!$A$5:$A$42,A18,교통상세!$D$5:$D$42,"시내")</f>
        <v>9700</v>
      </c>
      <c r="J18" s="11" t="n">
        <f aca="false">SUM(D18:I18)</f>
        <v>72400</v>
      </c>
      <c r="K18" s="25" t="n">
        <f aca="false">K17+J18</f>
        <v>1034012</v>
      </c>
    </row>
    <row r="19" customFormat="false" ht="15" hidden="false" customHeight="true" outlineLevel="0" collapsed="false">
      <c r="A19" s="30" t="s">
        <v>126</v>
      </c>
      <c r="B19" s="31" t="s">
        <v>216</v>
      </c>
      <c r="C19" s="31" t="s">
        <v>237</v>
      </c>
      <c r="D19" s="17" t="n">
        <f aca="false">SUMIF(입장료!$A$4:$A$25,A19,입장료!$E$4:$E$25)</f>
        <v>114800</v>
      </c>
      <c r="E19" s="17" t="n">
        <v>45000</v>
      </c>
      <c r="F19" s="17" t="n">
        <f aca="false">ROUND(25*환율!$B$6,0)</f>
        <v>41000</v>
      </c>
      <c r="G19" s="17" t="n">
        <v>8000</v>
      </c>
      <c r="H19" s="17" t="n">
        <f aca="false">SUMIFS(교통상세!$G$5:$G$42,교통상세!$A$5:$A$42,A19,교통상세!$D$5:$D$42,"시외")</f>
        <v>0</v>
      </c>
      <c r="I19" s="17" t="n">
        <f aca="false">SUMIFS(교통상세!$G$5:$G$42,교통상세!$A$5:$A$42,A19,교통상세!$D$5:$D$42,"시내")</f>
        <v>41760</v>
      </c>
      <c r="J19" s="11" t="n">
        <f aca="false">SUM(D19:I19)</f>
        <v>250560</v>
      </c>
      <c r="K19" s="25" t="n">
        <f aca="false">K18+J19</f>
        <v>1284572</v>
      </c>
    </row>
    <row r="20" customFormat="false" ht="15" hidden="false" customHeight="true" outlineLevel="0" collapsed="false">
      <c r="A20" s="32" t="s">
        <v>136</v>
      </c>
      <c r="B20" s="33" t="s">
        <v>218</v>
      </c>
      <c r="C20" s="33" t="s">
        <v>238</v>
      </c>
      <c r="D20" s="17" t="n">
        <f aca="false">SUMIF(입장료!$A$4:$A$25,A20,입장료!$E$4:$E$25)</f>
        <v>24381</v>
      </c>
      <c r="E20" s="17" t="n">
        <v>55000</v>
      </c>
      <c r="F20" s="17" t="n">
        <v>0</v>
      </c>
      <c r="G20" s="17" t="n">
        <v>8000</v>
      </c>
      <c r="H20" s="17" t="n">
        <f aca="false">SUMIFS(교통상세!$G$5:$G$42,교통상세!$A$5:$A$42,A20,교통상세!$D$5:$D$42,"시외")</f>
        <v>0</v>
      </c>
      <c r="I20" s="17" t="n">
        <f aca="false">SUMIFS(교통상세!$G$5:$G$42,교통상세!$A$5:$A$42,A20,교통상세!$D$5:$D$42,"시내")</f>
        <v>108853</v>
      </c>
      <c r="J20" s="11" t="n">
        <f aca="false">SUM(D20:I20)</f>
        <v>196234</v>
      </c>
      <c r="K20" s="25" t="n">
        <f aca="false">K19+J20</f>
        <v>1480806</v>
      </c>
    </row>
    <row r="21" customFormat="false" ht="15" hidden="false" customHeight="true" outlineLevel="0" collapsed="false">
      <c r="A21" s="32" t="s">
        <v>149</v>
      </c>
      <c r="B21" s="33" t="s">
        <v>220</v>
      </c>
      <c r="C21" s="33" t="s">
        <v>239</v>
      </c>
      <c r="D21" s="17" t="n">
        <f aca="false">SUMIF(입장료!$A$4:$A$25,A21,입장료!$E$4:$E$25)</f>
        <v>0</v>
      </c>
      <c r="E21" s="17" t="n">
        <v>15000</v>
      </c>
      <c r="F21" s="17" t="n">
        <v>0</v>
      </c>
      <c r="G21" s="17" t="n">
        <v>0</v>
      </c>
      <c r="H21" s="17" t="n">
        <f aca="false">SUMIFS(교통상세!$G$5:$G$42,교통상세!$A$5:$A$42,A21,교통상세!$D$5:$D$42,"시외")</f>
        <v>0</v>
      </c>
      <c r="I21" s="17" t="n">
        <f aca="false">SUMIFS(교통상세!$G$5:$G$42,교통상세!$A$5:$A$42,A21,교통상세!$D$5:$D$42,"시내")</f>
        <v>5418</v>
      </c>
      <c r="J21" s="11" t="n">
        <f aca="false">SUM(D21:I21)</f>
        <v>20418</v>
      </c>
      <c r="K21" s="25" t="n">
        <f aca="false">K20+J21</f>
        <v>1501224</v>
      </c>
    </row>
    <row r="22" customFormat="false" ht="15" hidden="false" customHeight="true" outlineLevel="0" collapsed="false">
      <c r="A22" s="19" t="s">
        <v>240</v>
      </c>
      <c r="B22" s="20"/>
      <c r="C22" s="20"/>
      <c r="D22" s="21" t="n">
        <f aca="false">SUM(D5:D21)</f>
        <v>203367</v>
      </c>
      <c r="E22" s="21" t="n">
        <f aca="false">SUM(E5:E21)</f>
        <v>484000</v>
      </c>
      <c r="F22" s="21" t="n">
        <f aca="false">SUM(F5:F21)</f>
        <v>326352</v>
      </c>
      <c r="G22" s="21" t="n">
        <f aca="false">SUM(G5:G21)</f>
        <v>87000</v>
      </c>
      <c r="H22" s="21" t="n">
        <f aca="false">SUM(H5:H21)</f>
        <v>96862</v>
      </c>
      <c r="I22" s="21" t="n">
        <f aca="false">SUM(I5:I21)</f>
        <v>303643</v>
      </c>
      <c r="J22" s="21" t="n">
        <f aca="false">SUM(J5:J21)</f>
        <v>1501224</v>
      </c>
      <c r="K22" s="34"/>
    </row>
    <row r="23" customFormat="false" ht="15.75" hidden="false" customHeight="true" outlineLevel="0" collapsed="false"/>
    <row r="24" customFormat="false" ht="15" hidden="false" customHeight="true" outlineLevel="0" collapsed="false">
      <c r="A24" s="2" t="s">
        <v>241</v>
      </c>
    </row>
    <row r="25" customFormat="false" ht="15" hidden="false" customHeight="true" outlineLevel="0" collapsed="false">
      <c r="A25" s="4" t="s">
        <v>242</v>
      </c>
      <c r="B25" s="11" t="n">
        <f aca="false">J22</f>
        <v>1501224</v>
      </c>
    </row>
    <row r="26" customFormat="false" ht="15" hidden="false" customHeight="true" outlineLevel="0" collapsed="false">
      <c r="A26" s="4" t="s">
        <v>243</v>
      </c>
      <c r="B26" s="35" t="n">
        <f aca="false">환율!B13</f>
        <v>1402700</v>
      </c>
    </row>
    <row r="27" customFormat="false" ht="15" hidden="false" customHeight="true" outlineLevel="0" collapsed="false">
      <c r="A27" s="36" t="s">
        <v>244</v>
      </c>
      <c r="B27" s="11" t="n">
        <f aca="false">B25+B26</f>
        <v>2903924</v>
      </c>
    </row>
    <row r="28" customFormat="false" ht="15" hidden="false" customHeight="true" outlineLevel="0" collapsed="false">
      <c r="A28" s="4" t="s">
        <v>23</v>
      </c>
      <c r="B28" s="35" t="n">
        <f aca="false">환율!B14</f>
        <v>3000000</v>
      </c>
    </row>
    <row r="29" customFormat="false" ht="15" hidden="false" customHeight="true" outlineLevel="0" collapsed="false">
      <c r="A29" s="36" t="s">
        <v>245</v>
      </c>
      <c r="B29" s="11" t="n">
        <f aca="false">B28-B27</f>
        <v>96076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12" t="s">
        <v>246</v>
      </c>
    </row>
    <row r="32" customFormat="false" ht="15" hidden="false" customHeight="true" outlineLevel="0" collapsed="false">
      <c r="A32" s="12" t="s">
        <v>247</v>
      </c>
    </row>
    <row r="33" customFormat="false" ht="16.5" hidden="false" customHeight="true" outlineLevel="0" collapsed="false">
      <c r="A33" s="13" t="s">
        <v>248</v>
      </c>
    </row>
    <row r="34" customFormat="false" ht="16.5" hidden="false" customHeight="true" outlineLevel="0" collapsed="false">
      <c r="A34" s="13" t="s">
        <v>249</v>
      </c>
    </row>
    <row r="35" customFormat="false" ht="16.5" hidden="false" customHeight="true" outlineLevel="0" collapsed="false">
      <c r="A35" s="1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2026-08-06T16:18:53Z</dcterms:created>
  <dc:creator>openpyxl</dc:creator>
  <dc:description/>
  <dc:language>en-US</dc:language>
  <cp:lastModifiedBy/>
  <dcterms:modified xsi:type="dcterms:W3CDTF">2026-08-11T04:22:07Z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