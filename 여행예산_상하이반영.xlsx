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9/27</t>
        </is>
      </c>
      <c r="B20" s="41" t="inlineStr">
        <is>
          <t>바나조르 → 귬리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1500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스피타크 경유 1시간 40분 · 1,000~1,500드람</t>
        </is>
      </c>
    </row>
    <row r="21" ht="15" customHeight="1" s="38">
      <c r="A21" s="45" t="inlineStr">
        <is>
          <t>9/28</t>
        </is>
      </c>
      <c r="B21" s="41" t="inlineStr">
        <is>
          <t>귬리 → 예레반</t>
        </is>
      </c>
      <c r="C21" s="41" t="inlineStr">
        <is>
          <t>마르슈르트카</t>
        </is>
      </c>
      <c r="D21" s="53" t="inlineStr">
        <is>
          <t>시외</t>
        </is>
      </c>
      <c r="E21" s="54" t="n">
        <v>2000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2시간 · 수시 출발 · 급행 전동열차도 비슷한 값</t>
        </is>
      </c>
    </row>
    <row r="22" ht="15" customHeight="1" s="38">
      <c r="A22" s="45" t="inlineStr">
        <is>
          <t>9/29</t>
        </is>
      </c>
      <c r="B22" s="41" t="inlineStr">
        <is>
          <t>예레반 → 코르 비랍 · 노라방크 · 타테브 (왕복)</t>
        </is>
      </c>
      <c r="C22" s="41" t="inlineStr">
        <is>
          <t>1일 그룹투어 (미니버스)</t>
        </is>
      </c>
      <c r="D22" s="53" t="inlineStr">
        <is>
          <t>시외</t>
        </is>
      </c>
      <c r="E22" s="54" t="n">
        <v>25000</v>
      </c>
      <c r="F22" s="45" t="inlineStr">
        <is>
          <t>AMD</t>
        </is>
      </c>
      <c r="G22" s="48">
        <f>ROUND(E22*환율!$B$5/1,0)</f>
        <v/>
      </c>
      <c r="H22" s="55" t="inlineStr">
        <is>
          <t>✕</t>
        </is>
      </c>
      <c r="I22" s="47" t="inlineStr">
        <is>
          <t>Hyur Service 63.72달러 · 입장료·케이블카 포함, 점심 별도 · 08:30~22:30</t>
        </is>
      </c>
    </row>
    <row r="23" ht="15" customHeight="1" s="38">
      <c r="A23" s="45" t="inlineStr">
        <is>
          <t>9/27</t>
        </is>
      </c>
      <c r="B23" s="41" t="inlineStr">
        <is>
          <t>킬리키아 터미널 → 시내</t>
        </is>
      </c>
      <c r="C23" s="41" t="inlineStr">
        <is>
          <t>버스</t>
        </is>
      </c>
      <c r="D23" s="53" t="inlineStr">
        <is>
          <t>시내</t>
        </is>
      </c>
      <c r="E23" s="54" t="n">
        <v>100</v>
      </c>
      <c r="F23" s="45" t="inlineStr">
        <is>
          <t>AMD</t>
        </is>
      </c>
      <c r="G23" s="48">
        <f>ROUND(E23*환율!$B$5/1,0)</f>
        <v/>
      </c>
      <c r="H23" s="55" t="inlineStr">
        <is>
          <t>○</t>
        </is>
      </c>
      <c r="I23" s="43" t="inlineStr">
        <is>
          <t>또는 얀덱스 택시</t>
        </is>
      </c>
    </row>
    <row r="24" ht="15" customHeight="1" s="38">
      <c r="A24" s="45" t="inlineStr">
        <is>
          <t>9/30</t>
        </is>
      </c>
      <c r="B24" s="41" t="inlineStr">
        <is>
          <t>가르니 → 게하르트 왕복</t>
        </is>
      </c>
      <c r="C24" s="41" t="inlineStr">
        <is>
          <t>택시</t>
        </is>
      </c>
      <c r="D24" s="53" t="inlineStr">
        <is>
          <t>시내</t>
        </is>
      </c>
      <c r="E24" s="54" t="n">
        <v>3000</v>
      </c>
      <c r="F24" s="45" t="inlineStr">
        <is>
          <t>AMD</t>
        </is>
      </c>
      <c r="G24" s="48">
        <f>ROUND(E24*환율!$B$5/1,0)</f>
        <v/>
      </c>
      <c r="H24" s="55" t="inlineStr">
        <is>
          <t>✕</t>
        </is>
      </c>
      <c r="I24" s="47" t="inlineStr">
        <is>
          <t>9km, 대중교통 없음 · 1인 단독이라 전액 부담</t>
        </is>
      </c>
    </row>
    <row r="25" ht="15" customHeight="1" s="38">
      <c r="A25" s="45" t="inlineStr">
        <is>
          <t>10/1</t>
        </is>
      </c>
      <c r="B25" s="41" t="inlineStr">
        <is>
          <t>예레반 → 에치미아진 왕복</t>
        </is>
      </c>
      <c r="C25" s="41" t="inlineStr">
        <is>
          <t>마르슈르트카</t>
        </is>
      </c>
      <c r="D25" s="53" t="inlineStr">
        <is>
          <t>시내</t>
        </is>
      </c>
      <c r="E25" s="54" t="n">
        <v>600</v>
      </c>
      <c r="F25" s="45" t="inlineStr">
        <is>
          <t>AMD</t>
        </is>
      </c>
      <c r="G25" s="48">
        <f>ROUND(E25*환율!$B$5/1,0)</f>
        <v/>
      </c>
      <c r="H25" s="55" t="inlineStr">
        <is>
          <t>○</t>
        </is>
      </c>
      <c r="I25" s="47" t="inlineStr">
        <is>
          <t>킬리키아 터미널</t>
        </is>
      </c>
    </row>
    <row r="26" ht="15" customHeight="1" s="38">
      <c r="A26" s="45" t="inlineStr">
        <is>
          <t>10/3</t>
        </is>
      </c>
      <c r="B26" s="41" t="inlineStr">
        <is>
          <t>예레반 → 즈바르트노츠 공항</t>
        </is>
      </c>
      <c r="C26" s="41" t="inlineStr">
        <is>
          <t>택시</t>
        </is>
      </c>
      <c r="D26" s="53" t="inlineStr">
        <is>
          <t>시내</t>
        </is>
      </c>
      <c r="E26" s="54" t="n">
        <v>4000</v>
      </c>
      <c r="F26" s="45" t="inlineStr">
        <is>
          <t>AMD</t>
        </is>
      </c>
      <c r="G26" s="48">
        <f>ROUND(E26*환율!$B$5/1,0)</f>
        <v/>
      </c>
      <c r="H26" s="55" t="inlineStr">
        <is>
          <t>△</t>
        </is>
      </c>
      <c r="I26" s="47" t="inlineStr">
        <is>
          <t>01:30경 출발, 심야 할증 감안</t>
        </is>
      </c>
    </row>
    <row r="27" ht="15" customHeight="1" s="38">
      <c r="A27" s="45" t="inlineStr">
        <is>
          <t>10/3</t>
        </is>
      </c>
      <c r="B27" s="41" t="inlineStr">
        <is>
          <t>아테네 공항 → 신타그마역</t>
        </is>
      </c>
      <c r="C27" s="41" t="inlineStr">
        <is>
          <t>메트로 3호선</t>
        </is>
      </c>
      <c r="D27" s="53" t="inlineStr">
        <is>
          <t>시내</t>
        </is>
      </c>
      <c r="E27" s="54" t="n">
        <v>10</v>
      </c>
      <c r="F27" s="45" t="inlineStr">
        <is>
          <t>EUR</t>
        </is>
      </c>
      <c r="G27" s="48">
        <f>ROUND(E27*환율!$B$6/1,0)</f>
        <v/>
      </c>
      <c r="H27" s="55" t="inlineStr">
        <is>
          <t>○</t>
        </is>
      </c>
      <c r="I27" s="43" t="inlineStr">
        <is>
          <t>공항선 정액 10유로, 40분</t>
        </is>
      </c>
    </row>
    <row r="28" ht="15" customHeight="1" s="38">
      <c r="A28" s="45" t="inlineStr">
        <is>
          <t>10/3</t>
        </is>
      </c>
      <c r="B28" s="41" t="inlineStr">
        <is>
          <t>아테네 시내 이동</t>
        </is>
      </c>
      <c r="C28" s="41" t="inlineStr">
        <is>
          <t>메트로·트램 4~5회</t>
        </is>
      </c>
      <c r="D28" s="53" t="inlineStr">
        <is>
          <t>시내</t>
        </is>
      </c>
      <c r="E28" s="54" t="n">
        <v>6</v>
      </c>
      <c r="F28" s="45" t="inlineStr">
        <is>
          <t>EUR</t>
        </is>
      </c>
      <c r="G28" s="48">
        <f>ROUND(E28*환율!$B$6/1,0)</f>
        <v/>
      </c>
      <c r="H28" s="55" t="inlineStr">
        <is>
          <t>○</t>
        </is>
      </c>
      <c r="I28" s="47" t="inlineStr">
        <is>
          <t>1회 1.20유로. 대부분 도보권이라 보조 수단</t>
        </is>
      </c>
    </row>
    <row r="29" ht="15" customHeight="1" s="38">
      <c r="A29" s="45" t="inlineStr">
        <is>
          <t>10/4</t>
        </is>
      </c>
      <c r="B29" s="41" t="inlineStr">
        <is>
          <t>아테네 → 공항 (04:10 출발)</t>
        </is>
      </c>
      <c r="C29" s="41" t="inlineStr">
        <is>
          <t>X95 공항버스</t>
        </is>
      </c>
      <c r="D29" s="53" t="inlineStr">
        <is>
          <t>시내</t>
        </is>
      </c>
      <c r="E29" s="54" t="n">
        <v>6.2</v>
      </c>
      <c r="F29" s="45" t="inlineStr">
        <is>
          <t>EUR</t>
        </is>
      </c>
      <c r="G29" s="48">
        <f>ROUND(E29*환율!$B$6/1,0)</f>
        <v/>
      </c>
      <c r="H29" s="55" t="inlineStr">
        <is>
          <t>○</t>
        </is>
      </c>
      <c r="I29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30" ht="15" customHeight="1" s="38">
      <c r="A30" s="45" t="inlineStr">
        <is>
          <t>10/4</t>
        </is>
      </c>
      <c r="B30" s="41" t="inlineStr">
        <is>
          <t>자이드 국제공항 → TRYP 호텔</t>
        </is>
      </c>
      <c r="C30" s="41" t="inlineStr">
        <is>
          <t>택시</t>
        </is>
      </c>
      <c r="D30" s="53" t="inlineStr">
        <is>
          <t>시내</t>
        </is>
      </c>
      <c r="E30" s="54" t="n">
        <v>90</v>
      </c>
      <c r="F30" s="45" t="inlineStr">
        <is>
          <t>AED</t>
        </is>
      </c>
      <c r="G30" s="48">
        <f>ROUND(E30*환율!$B$7/1,0)</f>
        <v/>
      </c>
      <c r="H30" s="55" t="inlineStr">
        <is>
          <t>✕</t>
        </is>
      </c>
      <c r="I30" s="47" t="inlineStr">
        <is>
          <t>칼리파 bin 자이드 St · 30~40분 · 미터 약 85~100디르함</t>
        </is>
      </c>
    </row>
    <row r="31" ht="15" customHeight="1" s="38">
      <c r="A31" s="45" t="inlineStr">
        <is>
          <t>10/4</t>
        </is>
      </c>
      <c r="B31" s="41" t="inlineStr">
        <is>
          <t>TRYP 호텔 → 루브르 아부다비</t>
        </is>
      </c>
      <c r="C31" s="41" t="inlineStr">
        <is>
          <t>택시</t>
        </is>
      </c>
      <c r="D31" s="53" t="inlineStr">
        <is>
          <t>시내</t>
        </is>
      </c>
      <c r="E31" s="54" t="n">
        <v>45</v>
      </c>
      <c r="F31" s="45" t="inlineStr">
        <is>
          <t>AED</t>
        </is>
      </c>
      <c r="G31" s="48">
        <f>ROUND(E31*환율!$B$7/1,0)</f>
        <v/>
      </c>
      <c r="H31" s="55" t="inlineStr">
        <is>
          <t>✕</t>
        </is>
      </c>
      <c r="I31" s="43" t="inlineStr">
        <is>
          <t>사디야트 섬 · 약 14km, 20~25분</t>
        </is>
      </c>
    </row>
    <row r="32" ht="15" customHeight="1" s="38">
      <c r="A32" s="45" t="inlineStr">
        <is>
          <t>10/4</t>
        </is>
      </c>
      <c r="B32" s="41" t="inlineStr">
        <is>
          <t>루브르 → 셰이크 자이드 모스크</t>
        </is>
      </c>
      <c r="C32" s="41" t="inlineStr">
        <is>
          <t>택시</t>
        </is>
      </c>
      <c r="D32" s="53" t="inlineStr">
        <is>
          <t>시내</t>
        </is>
      </c>
      <c r="E32" s="54" t="n">
        <v>75</v>
      </c>
      <c r="F32" s="45" t="inlineStr">
        <is>
          <t>AED</t>
        </is>
      </c>
      <c r="G32" s="48">
        <f>ROUND(E32*환율!$B$7/1,0)</f>
        <v/>
      </c>
      <c r="H32" s="55" t="inlineStr">
        <is>
          <t>✕</t>
        </is>
      </c>
      <c r="I32" s="47" t="inlineStr">
        <is>
          <t>섬 반대편 횡단 약 28km, 30~35분 · 94번 버스면 2디르함이나 60~75분</t>
        </is>
      </c>
    </row>
    <row r="33" ht="15" customHeight="1" s="38">
      <c r="A33" s="45" t="inlineStr">
        <is>
          <t>10/4</t>
        </is>
      </c>
      <c r="B33" s="41" t="inlineStr">
        <is>
          <t>모스크 → TRYP 호텔</t>
        </is>
      </c>
      <c r="C33" s="41" t="inlineStr">
        <is>
          <t>택시</t>
        </is>
      </c>
      <c r="D33" s="53" t="inlineStr">
        <is>
          <t>시내</t>
        </is>
      </c>
      <c r="E33" s="54" t="n">
        <v>45</v>
      </c>
      <c r="F33" s="45" t="inlineStr">
        <is>
          <t>AED</t>
        </is>
      </c>
      <c r="G33" s="48">
        <f>ROUND(E33*환율!$B$7/1,0)</f>
        <v/>
      </c>
      <c r="H33" s="55" t="inlineStr">
        <is>
          <t>✕</t>
        </is>
      </c>
      <c r="I33" s="43" t="inlineStr">
        <is>
          <t>약 14km, 18~20분</t>
        </is>
      </c>
    </row>
    <row r="34" ht="15" customHeight="1" s="38">
      <c r="A34" s="45" t="inlineStr">
        <is>
          <t>10/5</t>
        </is>
      </c>
      <c r="B34" s="41" t="inlineStr">
        <is>
          <t>TRYP 호텔 → 공항 (05:30)</t>
        </is>
      </c>
      <c r="C34" s="41" t="inlineStr">
        <is>
          <t>A2 공항버스</t>
        </is>
      </c>
      <c r="D34" s="53" t="inlineStr">
        <is>
          <t>시내</t>
        </is>
      </c>
      <c r="E34" s="54" t="n">
        <v>14</v>
      </c>
      <c r="F34" s="45" t="inlineStr">
        <is>
          <t>AED</t>
        </is>
      </c>
      <c r="G34" s="48">
        <f>ROUND(E34*환율!$B$7/1,0)</f>
        <v/>
      </c>
      <c r="H34" s="55" t="inlineStr">
        <is>
          <t>○</t>
        </is>
      </c>
      <c r="I34" s="47" t="inlineStr">
        <is>
          <t>버스 4디르함 + 하필라트 카드 10디르함 · 칼리파 bin 자이드 St 승차 · 40~45분</t>
        </is>
      </c>
    </row>
    <row r="35" ht="15" customHeight="1" s="38">
      <c r="A35" s="45" t="inlineStr">
        <is>
          <t>9/30</t>
        </is>
      </c>
      <c r="B35" s="41" t="inlineStr">
        <is>
          <t>예레반 → 가르니 왕복</t>
        </is>
      </c>
      <c r="C35" s="41" t="inlineStr">
        <is>
          <t>266·284번 버스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가이 정류장 출발 · 30분 간격 · 왕복 500드람</t>
        </is>
      </c>
    </row>
    <row r="36" ht="15" customHeight="1" s="38">
      <c r="A36" s="45" t="inlineStr">
        <is>
          <t>9/24</t>
        </is>
      </c>
      <c r="B36" s="41" t="inlineStr">
        <is>
          <t>스테판츠민다 → 주타 왕복</t>
        </is>
      </c>
      <c r="C36" s="41" t="inlineStr">
        <is>
          <t>4WD 택시 (대기 포함)</t>
        </is>
      </c>
      <c r="D36" s="53" t="inlineStr">
        <is>
          <t>시내</t>
        </is>
      </c>
      <c r="E36" s="54" t="n">
        <v>80</v>
      </c>
      <c r="F36" s="45" t="inlineStr">
        <is>
          <t>GEL</t>
        </is>
      </c>
      <c r="G36" s="48">
        <f>ROUND(E36*환율!$B$4/1,0)</f>
        <v/>
      </c>
      <c r="H36" s="55" t="inlineStr">
        <is>
          <t>✕</t>
        </is>
      </c>
      <c r="I36" s="47" t="inlineStr">
        <is>
          <t>대중교통 없음 · 25km 비포장 · 1인 단독이면 전액. 동행 구하면 40라리</t>
        </is>
      </c>
    </row>
    <row r="37" ht="15" customHeight="1" s="38">
      <c r="A37" s="45" t="inlineStr">
        <is>
          <t>9/25</t>
        </is>
      </c>
      <c r="B37" s="41" t="inlineStr">
        <is>
          <t>트빌리시 → 시그나기 왕복</t>
        </is>
      </c>
      <c r="C37" s="41" t="inlineStr">
        <is>
          <t>마르슈르트카</t>
        </is>
      </c>
      <c r="D37" s="53" t="inlineStr">
        <is>
          <t>시외</t>
        </is>
      </c>
      <c r="E37" s="54" t="n">
        <v>25</v>
      </c>
      <c r="F37" s="45" t="inlineStr">
        <is>
          <t>GEL</t>
        </is>
      </c>
      <c r="G37" s="48">
        <f>ROUND(E37*환율!$B$4/1,0)</f>
        <v/>
      </c>
      <c r="H37" s="55" t="inlineStr">
        <is>
          <t>○</t>
        </is>
      </c>
      <c r="I37" s="47" t="inlineStr">
        <is>
          <t>삼고리 터미널 출발 · 편도 2~2.5시간 · 보드베는 요청하면 하차 · 돌아오는 막차 18~19시</t>
        </is>
      </c>
    </row>
    <row r="38" ht="15" customHeight="1" s="38">
      <c r="A38" s="45" t="inlineStr">
        <is>
          <t>9/29</t>
        </is>
      </c>
      <c r="B38" s="41" t="inlineStr">
        <is>
          <t>투어 사무실 → 숙소 (심야)</t>
        </is>
      </c>
      <c r="C38" s="41" t="inlineStr">
        <is>
          <t>택시 또는 도보</t>
        </is>
      </c>
      <c r="D38" s="53" t="inlineStr">
        <is>
          <t>시내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△</t>
        </is>
      </c>
      <c r="I38" s="47" t="inlineStr">
        <is>
          <t>22:30 이후 날반댠 96번지 하차 · 도보 10분이면 0원</t>
        </is>
      </c>
    </row>
    <row r="39" ht="15" customHeight="1" s="38">
      <c r="A39" s="56" t="inlineStr">
        <is>
          <t>교통비 합계</t>
        </is>
      </c>
      <c r="B39" s="57" t="n"/>
      <c r="C39" s="57" t="n"/>
      <c r="D39" s="57" t="n"/>
      <c r="E39" s="57" t="n"/>
      <c r="F39" s="57" t="n"/>
      <c r="G39" s="58">
        <f>SUM(G5:G38)</f>
        <v/>
      </c>
      <c r="H39" s="57" t="n"/>
      <c r="I39" s="57" t="n"/>
    </row>
    <row r="40" ht="15" customHeight="1" s="38">
      <c r="A40" s="37" t="n"/>
    </row>
    <row r="41" ht="15" customHeight="1" s="38">
      <c r="A41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2" ht="15" customHeight="1" s="38">
      <c r="A42" s="49" t="n"/>
    </row>
    <row r="43" ht="15" customHeight="1" s="38"/>
    <row r="44"/>
    <row r="45"/>
    <row r="46"/>
    <row r="47"/>
    <row r="48"/>
    <row r="49"/>
    <row r="50"/>
    <row r="51"/>
    <row r="5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9/30</t>
        </is>
      </c>
      <c r="B13" s="41" t="inlineStr">
        <is>
          <t>가르니 신전</t>
        </is>
      </c>
      <c r="C13" s="54" t="n">
        <v>1800</v>
      </c>
      <c r="D13" s="45" t="inlineStr">
        <is>
          <t>AMD</t>
        </is>
      </c>
      <c r="E13" s="48">
        <f>ROUND(C13*환율!$B$5,0)</f>
        <v/>
      </c>
      <c r="F13" s="47" t="inlineStr">
        <is>
          <t>돌의 교향곡은 무료</t>
        </is>
      </c>
    </row>
    <row r="14" ht="15" customHeight="1" s="38">
      <c r="A14" s="45" t="inlineStr">
        <is>
          <t>9/30</t>
        </is>
      </c>
      <c r="B14" s="41" t="inlineStr">
        <is>
          <t>게하르트 수도원</t>
        </is>
      </c>
      <c r="C14" s="54" t="n">
        <v>0</v>
      </c>
      <c r="D14" s="45" t="inlineStr">
        <is>
          <t>AMD</t>
        </is>
      </c>
      <c r="E14" s="48">
        <f>ROUND(C14*환율!$B$5,0)</f>
        <v/>
      </c>
      <c r="F14" s="47" t="inlineStr">
        <is>
          <t>무료</t>
        </is>
      </c>
    </row>
    <row r="15" ht="15" customHeight="1" s="38">
      <c r="A15" s="45" t="inlineStr">
        <is>
          <t>10/1</t>
        </is>
      </c>
      <c r="B15" s="41" t="inlineStr">
        <is>
          <t>에치미아진 보물관</t>
        </is>
      </c>
      <c r="C15" s="54" t="n">
        <v>1500</v>
      </c>
      <c r="D15" s="45" t="inlineStr">
        <is>
          <t>AMD</t>
        </is>
      </c>
      <c r="E15" s="48">
        <f>ROUND(C15*환율!$B$5,0)</f>
        <v/>
      </c>
      <c r="F15" s="47" t="inlineStr">
        <is>
          <t>대성당 자체는 무료</t>
        </is>
      </c>
    </row>
    <row r="16" ht="15" customHeight="1" s="38">
      <c r="A16" s="45" t="inlineStr">
        <is>
          <t>9/29</t>
        </is>
      </c>
      <c r="B16" s="41" t="inlineStr">
        <is>
          <t>코르 비랍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투어 포함</t>
        </is>
      </c>
    </row>
    <row r="17" ht="15" customHeight="1" s="38">
      <c r="A17" s="45" t="inlineStr">
        <is>
          <t>10/3</t>
        </is>
      </c>
      <c r="B17" s="41" t="inlineStr">
        <is>
          <t>아크로폴리스</t>
        </is>
      </c>
      <c r="C17" s="54" t="n">
        <v>30</v>
      </c>
      <c r="D17" s="45" t="inlineStr">
        <is>
          <t>EUR</t>
        </is>
      </c>
      <c r="E17" s="48">
        <f>ROUND(C17*환율!$B$6,0)</f>
        <v/>
      </c>
      <c r="F17" s="47" t="inlineStr">
        <is>
          <t>hhticket.gr 공식 정가 30유로(연중 동일) · 타임드 엔트리 필수 · 60일 전 오픈, 성수기 5~7일 전 매진</t>
        </is>
      </c>
    </row>
    <row r="18" ht="15" customHeight="1" s="38">
      <c r="A18" s="45" t="inlineStr">
        <is>
          <t>10/3</t>
        </is>
      </c>
      <c r="B18" s="41" t="inlineStr">
        <is>
          <t>고대 아고라 · 헤파이스토스 신전</t>
        </is>
      </c>
      <c r="C18" s="54" t="n">
        <v>12</v>
      </c>
      <c r="D18" s="45" t="inlineStr">
        <is>
          <t>EUR</t>
        </is>
      </c>
      <c r="E18" s="48">
        <f>ROUND(C18*환율!$B$6,0)</f>
        <v/>
      </c>
      <c r="F18" s="47" t="inlineStr">
        <is>
          <t>통합권 폐지로 별도 구매 필요 — 현장 확인</t>
        </is>
      </c>
    </row>
    <row r="19" ht="15" customHeight="1" s="38">
      <c r="A19" s="45" t="inlineStr">
        <is>
          <t>10/3</t>
        </is>
      </c>
      <c r="B19" s="41" t="inlineStr">
        <is>
          <t>아크로폴리스 박물관</t>
        </is>
      </c>
      <c r="C19" s="54" t="n">
        <v>20</v>
      </c>
      <c r="D19" s="45" t="inlineStr">
        <is>
          <t>EUR</t>
        </is>
      </c>
      <c r="E19" s="48">
        <f>ROUND(C19*환율!$B$6,0)</f>
        <v/>
      </c>
      <c r="F19" s="47" t="inlineStr">
        <is>
          <t>실제 확인가 (별도 티켓)</t>
        </is>
      </c>
    </row>
    <row r="20" ht="15" customHeight="1" s="38">
      <c r="A20" s="45" t="inlineStr">
        <is>
          <t>10/4</t>
        </is>
      </c>
      <c r="B20" s="41" t="inlineStr">
        <is>
          <t>루브르 아부다비</t>
        </is>
      </c>
      <c r="C20" s="54" t="n">
        <v>63</v>
      </c>
      <c r="D20" s="45" t="inlineStr">
        <is>
          <t>AED</t>
        </is>
      </c>
      <c r="E20" s="48">
        <f>ROUND(C20*환율!$B$7,0)</f>
        <v/>
      </c>
      <c r="F20" s="47" t="inlineStr">
        <is>
          <t>10/4 일요일 10:00~20:30, 최종 입장 20:00 · 월요일 휴관 · 돔은 자정까지</t>
        </is>
      </c>
    </row>
    <row r="21" ht="15" customHeight="1" s="38">
      <c r="A21" s="45" t="inlineStr">
        <is>
          <t>10/4</t>
        </is>
      </c>
      <c r="B21" s="41" t="inlineStr">
        <is>
          <t>셰이크 자이드 그랜드 모스크</t>
        </is>
      </c>
      <c r="C21" s="54" t="n">
        <v>0</v>
      </c>
      <c r="D21" s="45" t="inlineStr">
        <is>
          <t>AED</t>
        </is>
      </c>
      <c r="E21" s="48">
        <f>ROUND(C21*환율!$B$7,0)</f>
        <v/>
      </c>
      <c r="F21" s="47" t="inlineStr">
        <is>
          <t>무료</t>
        </is>
      </c>
    </row>
    <row r="22" ht="15" customHeight="1" s="38">
      <c r="A22" s="45" t="inlineStr">
        <is>
          <t>9/27</t>
        </is>
      </c>
      <c r="B22" s="41" t="inlineStr">
        <is>
          <t>지토그흐치안 도시생활박물관 (귬리)</t>
        </is>
      </c>
      <c r="C22" s="54" t="n">
        <v>1000</v>
      </c>
      <c r="D22" s="45" t="inlineStr">
        <is>
          <t>AMD</t>
        </is>
      </c>
      <c r="E22" s="48">
        <f>ROUND(C22*환율!$B$5,0)</f>
        <v/>
      </c>
      <c r="F22" s="47" t="inlineStr">
        <is>
          <t>화~금 10:00~17:00 · 일요일 개관 여부 현지 확인</t>
        </is>
      </c>
    </row>
    <row r="23" ht="15" customHeight="1" s="38">
      <c r="A23" s="45" t="inlineStr">
        <is>
          <t>10/2</t>
        </is>
      </c>
      <c r="B23" s="41" t="inlineStr">
        <is>
          <t>마테나다란 고문서관</t>
        </is>
      </c>
      <c r="C23" s="54" t="n">
        <v>2000</v>
      </c>
      <c r="D23" s="45" t="inlineStr">
        <is>
          <t>AMD</t>
        </is>
      </c>
      <c r="E23" s="48">
        <f>ROUND(C23*환율!$B$5,0)</f>
        <v/>
      </c>
      <c r="F23" s="47" t="inlineStr">
        <is>
          <t>화~토 10:00~17:50 · 금요일 개관</t>
        </is>
      </c>
    </row>
    <row r="24" ht="15" customHeight="1" s="38">
      <c r="A24" s="45" t="inlineStr">
        <is>
          <t>10/2</t>
        </is>
      </c>
      <c r="B24" s="41" t="inlineStr">
        <is>
          <t>카페시안 미술관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기부제 · 금~일 20:00까지</t>
        </is>
      </c>
    </row>
    <row r="25" ht="15" customHeight="1" s="38">
      <c r="A25" s="45" t="inlineStr">
        <is>
          <t>10/1</t>
        </is>
      </c>
      <c r="B25" s="41" t="inlineStr">
        <is>
          <t>성 흐립시메 교회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무료 · 유네스코</t>
        </is>
      </c>
    </row>
    <row r="26" ht="15" customHeight="1" s="38">
      <c r="A26" s="45" t="inlineStr">
        <is>
          <t>10/1</t>
        </is>
      </c>
      <c r="B26" s="41" t="inlineStr">
        <is>
          <t>즈바르트노츠 유적</t>
        </is>
      </c>
      <c r="C26" s="54" t="n">
        <v>1500</v>
      </c>
      <c r="D26" s="45" t="inlineStr">
        <is>
          <t>AMD</t>
        </is>
      </c>
      <c r="E26" s="48">
        <f>ROUND(C26*환율!$B$5,0)</f>
        <v/>
      </c>
      <c r="F26" s="47" t="inlineStr">
        <is>
          <t>7세기 원형 성당 터</t>
        </is>
      </c>
    </row>
    <row r="27" ht="15" customHeight="1" s="38">
      <c r="A27" s="45" t="inlineStr">
        <is>
          <t>10/1</t>
        </is>
      </c>
      <c r="B27" s="41" t="inlineStr">
        <is>
          <t>대학살 추모관 박물관</t>
        </is>
      </c>
      <c r="C27" s="54" t="n">
        <v>0</v>
      </c>
      <c r="D27" s="45" t="inlineStr">
        <is>
          <t>AMD</t>
        </is>
      </c>
      <c r="E27" s="48">
        <f>ROUND(C27*환율!$B$5,0)</f>
        <v/>
      </c>
      <c r="F27" s="47" t="inlineStr">
        <is>
          <t>무료 · 17:00 마감 · 월요일 휴관</t>
        </is>
      </c>
    </row>
    <row r="28" ht="15" customHeight="1" s="38">
      <c r="A28" s="45" t="inlineStr">
        <is>
          <t>9/29</t>
        </is>
      </c>
      <c r="B28" s="41" t="inlineStr">
        <is>
          <t>노라방크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투어 포함</t>
        </is>
      </c>
    </row>
    <row r="29">
      <c r="A29" s="45" t="inlineStr">
        <is>
          <t>9/29</t>
        </is>
      </c>
      <c r="B29" s="41" t="inlineStr">
        <is>
          <t>윙스 오브 타테브 케이블카</t>
        </is>
      </c>
      <c r="C29" s="54" t="n">
        <v>0</v>
      </c>
      <c r="D29" s="45" t="inlineStr">
        <is>
          <t>AMD</t>
        </is>
      </c>
      <c r="E29" s="48">
        <f>ROUND(C29*환율!$B$5,0)</f>
        <v/>
      </c>
      <c r="F29" s="47" t="inlineStr">
        <is>
          <t>투어 요금에 포함 (개별 구매 시 8,000드람) · 월요일 휴무</t>
        </is>
      </c>
    </row>
    <row r="30">
      <c r="A30" s="45" t="inlineStr">
        <is>
          <t>9/29</t>
        </is>
      </c>
      <c r="B30" s="41" t="inlineStr">
        <is>
          <t>타테브 수도원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무료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SUMIFS(교통상세!$G$5:$G$38,교통상세!$A$5:$A$38,A5,교통상세!$D$5:$D$38,"시외")</f>
        <v/>
      </c>
      <c r="I5" s="54">
        <f>SUMIFS(교통상세!$G$5:$G$38,교통상세!$A$5:$A$38,A5,교통상세!$D$5:$D$38,"시내")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SUMIFS(교통상세!$G$5:$G$38,교통상세!$A$5:$A$38,A6,교통상세!$D$5:$D$38,"시외")</f>
        <v/>
      </c>
      <c r="I6" s="54">
        <f>SUMIFS(교통상세!$G$5:$G$38,교통상세!$A$5:$A$38,A6,교통상세!$D$5:$D$38,"시내")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SUMIFS(교통상세!$G$5:$G$38,교통상세!$A$5:$A$38,A7,교통상세!$D$5:$D$38,"시외")</f>
        <v/>
      </c>
      <c r="I7" s="54">
        <f>SUMIFS(교통상세!$G$5:$G$38,교통상세!$A$5:$A$38,A7,교통상세!$D$5:$D$38,"시내")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SUMIF(입장료!$A$4:$A$30,A8,입장료!$E$4:$E$30)</f>
        <v/>
      </c>
      <c r="E8" s="54" t="n">
        <v>25000</v>
      </c>
      <c r="F8" s="62" t="n">
        <v>15689</v>
      </c>
      <c r="G8" s="54" t="n">
        <v>6000</v>
      </c>
      <c r="H8" s="54">
        <f>SUMIFS(교통상세!$G$5:$G$38,교통상세!$A$5:$A$38,A8,교통상세!$D$5:$D$38,"시외")</f>
        <v/>
      </c>
      <c r="I8" s="54">
        <f>SUMIFS(교통상세!$G$5:$G$38,교통상세!$A$5:$A$38,A8,교통상세!$D$5:$D$38,"시내")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SUMIF(입장료!$A$4:$A$30,A9,입장료!$E$4:$E$30)</f>
        <v/>
      </c>
      <c r="E9" s="54" t="n">
        <v>25000</v>
      </c>
      <c r="F9" s="54" t="n">
        <v>28000</v>
      </c>
      <c r="G9" s="54" t="n">
        <v>5000</v>
      </c>
      <c r="H9" s="54">
        <f>SUMIFS(교통상세!$G$5:$G$38,교통상세!$A$5:$A$38,A9,교통상세!$D$5:$D$38,"시외")</f>
        <v/>
      </c>
      <c r="I9" s="54">
        <f>SUMIFS(교통상세!$G$5:$G$38,교통상세!$A$5:$A$38,A9,교통상세!$D$5:$D$38,"시내")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SUMIF(입장료!$A$4:$A$30,A10,입장료!$E$4:$E$30)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SUMIFS(교통상세!$G$5:$G$38,교통상세!$A$5:$A$38,A10,교통상세!$D$5:$D$38,"시외")</f>
        <v/>
      </c>
      <c r="I10" s="54">
        <f>SUMIFS(교통상세!$G$5:$G$38,교통상세!$A$5:$A$38,A10,교통상세!$D$5:$D$38,"시내")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SUMIF(입장료!$A$4:$A$30,A11,입장료!$E$4:$E$30)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SUMIFS(교통상세!$G$5:$G$38,교통상세!$A$5:$A$38,A11,교통상세!$D$5:$D$38,"시외")</f>
        <v/>
      </c>
      <c r="I11" s="54">
        <f>SUMIFS(교통상세!$G$5:$G$38,교통상세!$A$5:$A$38,A11,교통상세!$D$5:$D$38,"시내")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SUMIF(입장료!$A$4:$A$30,A12,입장료!$E$4:$E$30)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SUMIFS(교통상세!$G$5:$G$38,교통상세!$A$5:$A$38,A12,교통상세!$D$5:$D$38,"시외")</f>
        <v/>
      </c>
      <c r="I12" s="54">
        <f>SUMIFS(교통상세!$G$5:$G$38,교통상세!$A$5:$A$38,A12,교통상세!$D$5:$D$38,"시내")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귬리 — 쿠마이리 구시가</t>
        </is>
      </c>
      <c r="D13" s="54">
        <f>SUMIF(입장료!$A$4:$A$30,A13,입장료!$E$4:$E$30)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SUMIFS(교통상세!$G$5:$G$38,교통상세!$A$5:$A$38,A13,교통상세!$D$5:$D$38,"시외")</f>
        <v/>
      </c>
      <c r="I13" s="54">
        <f>SUMIFS(교통상세!$G$5:$G$38,교통상세!$A$5:$A$38,A13,교통상세!$D$5:$D$38,"시내")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귬리에서 이동 · 시내</t>
        </is>
      </c>
      <c r="D14" s="54">
        <f>SUMIF(입장료!$A$4:$A$30,A14,입장료!$E$4:$E$30)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SUMIFS(교통상세!$G$5:$G$38,교통상세!$A$5:$A$38,A14,교통상세!$D$5:$D$38,"시외")</f>
        <v/>
      </c>
      <c r="I14" s="54">
        <f>SUMIFS(교통상세!$G$5:$G$38,교통상세!$A$5:$A$38,A14,교통상세!$D$5:$D$38,"시내")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타테브 1일 투어</t>
        </is>
      </c>
      <c r="D15" s="54">
        <f>SUMIF(입장료!$A$4:$A$30,A15,입장료!$E$4:$E$30)</f>
        <v/>
      </c>
      <c r="E15" s="54" t="n">
        <v>35000</v>
      </c>
      <c r="F15" s="54" t="n">
        <v>20000</v>
      </c>
      <c r="G15" s="54" t="n">
        <v>6000</v>
      </c>
      <c r="H15" s="54">
        <f>SUMIFS(교통상세!$G$5:$G$38,교통상세!$A$5:$A$38,A15,교통상세!$D$5:$D$38,"시외")</f>
        <v/>
      </c>
      <c r="I15" s="54">
        <f>SUMIFS(교통상세!$G$5:$G$38,교통상세!$A$5:$A$38,A15,교통상세!$D$5:$D$38,"시내")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SUMIF(입장료!$A$4:$A$30,A16,입장료!$E$4:$E$30)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SUMIFS(교통상세!$G$5:$G$38,교통상세!$A$5:$A$38,A16,교통상세!$D$5:$D$38,"시외")</f>
        <v/>
      </c>
      <c r="I16" s="54">
        <f>SUMIFS(교통상세!$G$5:$G$38,교통상세!$A$5:$A$38,A16,교통상세!$D$5:$D$38,"시내")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SUMIFS(교통상세!$G$5:$G$38,교통상세!$A$5:$A$38,A17,교통상세!$D$5:$D$38,"시외")</f>
        <v/>
      </c>
      <c r="I17" s="54">
        <f>SUMIFS(교통상세!$G$5:$G$38,교통상세!$A$5:$A$38,A17,교통상세!$D$5:$D$38,"시내")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마테나다란·도심 도보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SUMIFS(교통상세!$G$5:$G$38,교통상세!$A$5:$A$38,A18,교통상세!$D$5:$D$38,"시외")</f>
        <v/>
      </c>
      <c r="I18" s="54">
        <f>SUMIFS(교통상세!$G$5:$G$38,교통상세!$A$5:$A$38,A18,교통상세!$D$5:$D$38,"시내")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SUMIFS(교통상세!$G$5:$G$38,교통상세!$A$5:$A$38,A19,교통상세!$D$5:$D$38,"시외")</f>
        <v/>
      </c>
      <c r="I19" s="54">
        <f>SUMIFS(교통상세!$G$5:$G$38,교통상세!$A$5:$A$38,A19,교통상세!$D$5:$D$38,"시내")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SUMIFS(교통상세!$G$5:$G$38,교통상세!$A$5:$A$38,A20,교통상세!$D$5:$D$38,"시외")</f>
        <v/>
      </c>
      <c r="I20" s="54">
        <f>SUMIFS(교통상세!$G$5:$G$38,교통상세!$A$5:$A$38,A20,교통상세!$D$5:$D$38,"시내")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SUMIFS(교통상세!$G$5:$G$38,교통상세!$A$5:$A$38,A21,교통상세!$D$5:$D$38,"시외")</f>
        <v/>
      </c>
      <c r="I21" s="54">
        <f>SUMIFS(교통상세!$G$5:$G$38,교통상세!$A$5:$A$38,A21,교통상세!$D$5:$D$38,"시내")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2026-08-14T12:32:35Z</dcterms:modified>
  <cp:revision>0</cp:revision>
</cp:coreProperties>
</file>