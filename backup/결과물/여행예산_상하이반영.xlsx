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일정" sheetId="1" state="visible" r:id="rId1"/>
    <sheet xmlns:r="http://schemas.openxmlformats.org/officeDocument/2006/relationships" name="환율" sheetId="2" state="visible" r:id="rId2"/>
    <sheet xmlns:r="http://schemas.openxmlformats.org/officeDocument/2006/relationships" name="교통상세" sheetId="3" state="visible" r:id="rId3"/>
    <sheet xmlns:r="http://schemas.openxmlformats.org/officeDocument/2006/relationships" name="입장료" sheetId="4" state="visible" r:id="rId4"/>
    <sheet xmlns:r="http://schemas.openxmlformats.org/officeDocument/2006/relationships" name="일자별예산" sheetId="5" state="visible" r:id="rId5"/>
  </sheets>
  <definedNames>
    <definedName name="_xlnm._FilterDatabase" localSheetId="0" hidden="1">'일정'!$A$4:$G$238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3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i val="1"/>
      <color rgb="FF595959"/>
      <sz val="9"/>
    </font>
    <font>
      <name val="Arial"/>
      <charset val="1"/>
      <family val="0"/>
      <b val="1"/>
      <sz val="10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sz val="10"/>
    </font>
    <font>
      <name val="Arial"/>
      <charset val="1"/>
      <family val="0"/>
      <color rgb="FF008000"/>
      <sz val="10"/>
    </font>
    <font>
      <b val="1"/>
      <sz val="14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FF2F4F5F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CE6EC"/>
        <bgColor rgb="FFE7F0F7"/>
      </patternFill>
    </fill>
    <fill>
      <patternFill patternType="solid">
        <fgColor rgb="FFF7EBEA"/>
        <bgColor rgb="FFF5EFE6"/>
      </patternFill>
    </fill>
    <fill>
      <patternFill patternType="solid">
        <fgColor rgb="FFEAF0F3"/>
        <bgColor rgb="FFE7F0F7"/>
      </patternFill>
    </fill>
    <fill>
      <patternFill patternType="solid">
        <fgColor rgb="FFFBF0E4"/>
        <bgColor rgb="FFF5EFE6"/>
      </patternFill>
    </fill>
    <fill>
      <patternFill patternType="solid">
        <fgColor rgb="FFE7F0F7"/>
        <bgColor rgb="FFEAF0F3"/>
      </patternFill>
    </fill>
    <fill>
      <patternFill patternType="solid">
        <fgColor rgb="FFF5EFE6"/>
        <bgColor rgb="FFFBF0E4"/>
      </patternFill>
    </fill>
    <fill>
      <patternFill patternType="solid">
        <fgColor rgb="0042606E"/>
      </patternFill>
    </fill>
    <fill>
      <patternFill patternType="solid">
        <fgColor rgb="00EDF1F3"/>
      </patternFill>
    </fill>
    <fill>
      <patternFill patternType="solid">
        <fgColor rgb="00FAF0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8DEE2"/>
      </left>
      <right style="thin">
        <color rgb="00D8DEE2"/>
      </right>
      <top style="thin">
        <color rgb="00D8DEE2"/>
      </top>
      <bottom style="thin">
        <color rgb="00D8DEE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9" fillId="0" borderId="0" pivotButton="0" quotePrefix="0" xfId="0"/>
    <xf numFmtId="0" fontId="0" fillId="0" borderId="0" applyAlignment="1" pivotButton="0" quotePrefix="0" xfId="0">
      <alignment vertical="top"/>
    </xf>
    <xf numFmtId="0" fontId="20" fillId="10" borderId="2" pivotButton="0" quotePrefix="0" xfId="0"/>
    <xf numFmtId="0" fontId="21" fillId="11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1" fillId="12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0E4"/>
      <rgbColor rgb="FFE7F0F7"/>
      <rgbColor rgb="FF660066"/>
      <rgbColor rgb="FFFF8080"/>
      <rgbColor rgb="FF0066CC"/>
      <rgbColor rgb="FFDCE6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3"/>
      <rgbColor rgb="FFF5EFE6"/>
      <rgbColor rgb="FFF7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38" min="1" max="1"/>
    <col width="5" customWidth="1" style="38" min="2" max="2"/>
    <col width="30" customWidth="1" style="38" min="3" max="3"/>
    <col width="7" customWidth="1" style="38" min="4" max="4"/>
    <col width="15" customWidth="1" style="38" min="5" max="5"/>
    <col width="54" customWidth="1" style="38" min="6" max="6"/>
    <col width="62" customWidth="1" style="38" min="7" max="7"/>
  </cols>
  <sheetData>
    <row r="1">
      <c r="A1" s="74" t="inlineStr">
        <is>
          <t>일정 — 날짜별 코스</t>
        </is>
      </c>
    </row>
    <row r="2">
      <c r="A2" s="75" t="inlineStr">
        <is>
          <t>일정 YAML 에서 그대로 생성한 시트입니다. HTML 문서와 같은 소스라 숫자·시각이 갈라지지 않습니다. 「이동」이 비어 있으면 걸어서 가는 구간이고, 「주의」 행은 그 날이 무너질 수 있는 지점입니다. 4행에 필터가 걸려 있으니 날짜나 이동수단으로 걸러 보세요.</t>
        </is>
      </c>
    </row>
    <row r="4">
      <c r="A4" s="76" t="inlineStr">
        <is>
          <t>날짜</t>
        </is>
      </c>
      <c r="B4" s="76" t="inlineStr">
        <is>
          <t>요일</t>
        </is>
      </c>
      <c r="C4" s="76" t="inlineStr">
        <is>
          <t>구간</t>
        </is>
      </c>
      <c r="D4" s="76" t="inlineStr">
        <is>
          <t>시각</t>
        </is>
      </c>
      <c r="E4" s="76" t="inlineStr">
        <is>
          <t>이동</t>
        </is>
      </c>
      <c r="F4" s="76" t="inlineStr">
        <is>
          <t>내용</t>
        </is>
      </c>
      <c r="G4" s="76" t="inlineStr">
        <is>
          <t>비고</t>
        </is>
      </c>
    </row>
    <row r="5">
      <c r="A5" s="77" t="inlineStr">
        <is>
          <t>9/19</t>
        </is>
      </c>
      <c r="B5" s="77" t="inlineStr">
        <is>
          <t>토</t>
        </is>
      </c>
      <c r="C5" s="77" t="inlineStr">
        <is>
          <t>상하이 — 훙차오 12:55 도착</t>
        </is>
      </c>
      <c r="D5" s="77" t="inlineStr"/>
      <c r="E5" s="77" t="inlineStr"/>
      <c r="F5" s="77" t="inlineStr">
        <is>
          <t>경유가 아니라 반나절짜리 하루가 생겼습니다. 예원에서 와이탄까지 한 줄로 걷는 코스.</t>
        </is>
      </c>
      <c r="G5" s="77" t="inlineStr"/>
    </row>
    <row r="6">
      <c r="A6" s="78" t="inlineStr">
        <is>
          <t>9/19</t>
        </is>
      </c>
      <c r="B6" s="78" t="inlineStr">
        <is>
          <t>토</t>
        </is>
      </c>
      <c r="C6" s="78" t="inlineStr"/>
      <c r="D6" s="78" t="inlineStr">
        <is>
          <t>12:55</t>
        </is>
      </c>
      <c r="E6" s="78" t="inlineStr"/>
      <c r="F6" s="78" t="inlineStr">
        <is>
          <t>훙차오 국제공항 T1 도착</t>
        </is>
      </c>
      <c r="G6" s="78" t="inlineStr"/>
    </row>
    <row r="7">
      <c r="A7" s="78" t="inlineStr">
        <is>
          <t>9/19</t>
        </is>
      </c>
      <c r="B7" s="78" t="inlineStr">
        <is>
          <t>토</t>
        </is>
      </c>
      <c r="C7" s="78" t="inlineStr"/>
      <c r="D7" s="78" t="inlineStr">
        <is>
          <t>13:35</t>
        </is>
      </c>
      <c r="E7" s="78" t="inlineStr"/>
      <c r="F7" s="78" t="inlineStr">
        <is>
          <t>입국 수속 · 짐 수령</t>
        </is>
      </c>
      <c r="G7" s="78" t="inlineStr">
        <is>
          <t>별도 발권이라 짐은 여기서 한 번 찾습니다</t>
        </is>
      </c>
    </row>
    <row r="8">
      <c r="A8" s="78" t="inlineStr">
        <is>
          <t>9/19</t>
        </is>
      </c>
      <c r="B8" s="78" t="inlineStr">
        <is>
          <t>토</t>
        </is>
      </c>
      <c r="C8" s="78" t="inlineStr"/>
      <c r="D8" s="78" t="inlineStr">
        <is>
          <t>13:50</t>
        </is>
      </c>
      <c r="E8" s="78" t="inlineStr">
        <is>
          <t>지하철 10호선</t>
        </is>
      </c>
      <c r="F8" s="78" t="inlineStr">
        <is>
          <t>난징둥루역</t>
        </is>
      </c>
      <c r="G8" s="78" t="inlineStr">
        <is>
          <t>5위안 · 45분 · T1역에서 바로 승차, 환승 없음</t>
        </is>
      </c>
    </row>
    <row r="9">
      <c r="A9" s="78" t="inlineStr">
        <is>
          <t>9/19</t>
        </is>
      </c>
      <c r="B9" s="78" t="inlineStr">
        <is>
          <t>토</t>
        </is>
      </c>
      <c r="C9" s="78" t="inlineStr"/>
      <c r="D9" s="78" t="inlineStr">
        <is>
          <t>14:40</t>
        </is>
      </c>
      <c r="E9" s="78" t="inlineStr"/>
      <c r="F9" s="78" t="inlineStr">
        <is>
          <t>Hi Cozy 호스텔 체크인 — 짐만 두고 바로 출발</t>
        </is>
      </c>
      <c r="G9" s="78" t="inlineStr">
        <is>
          <t>난징둥루역 도보권. 옥상 공용 라운지가 좋다는 평</t>
        </is>
      </c>
    </row>
    <row r="10">
      <c r="A10" s="78" t="inlineStr">
        <is>
          <t>9/19</t>
        </is>
      </c>
      <c r="B10" s="78" t="inlineStr">
        <is>
          <t>토</t>
        </is>
      </c>
      <c r="C10" s="78" t="inlineStr"/>
      <c r="D10" s="78" t="inlineStr">
        <is>
          <t>15:15</t>
        </is>
      </c>
      <c r="E10" s="78" t="inlineStr">
        <is>
          <t>10호선 한 정거장</t>
        </is>
      </c>
      <c r="F10" s="78" t="inlineStr">
        <is>
          <t>예원역</t>
        </is>
      </c>
      <c r="G10" s="78" t="inlineStr">
        <is>
          <t>또는 도보 20분</t>
        </is>
      </c>
    </row>
    <row r="11">
      <c r="A11" s="78" t="inlineStr">
        <is>
          <t>9/19</t>
        </is>
      </c>
      <c r="B11" s="78" t="inlineStr">
        <is>
          <t>토</t>
        </is>
      </c>
      <c r="C11" s="78" t="inlineStr"/>
      <c r="D11" s="78" t="inlineStr">
        <is>
          <t>15:30</t>
        </is>
      </c>
      <c r="E11" s="78" t="inlineStr"/>
      <c r="F11" s="78" t="inlineStr">
        <is>
          <t>예원 (豫园)</t>
        </is>
      </c>
      <c r="G11" s="78" t="inlineStr">
        <is>
          <t>[16:30 폐장] 40위안 · 명·청대 강남 정원. 좁은 회랑이 계속 꺾이며 풍경을 바꾸는 구조</t>
        </is>
      </c>
    </row>
    <row r="12">
      <c r="A12" s="78" t="inlineStr">
        <is>
          <t>9/19</t>
        </is>
      </c>
      <c r="B12" s="78" t="inlineStr">
        <is>
          <t>토</t>
        </is>
      </c>
      <c r="C12" s="78" t="inlineStr"/>
      <c r="D12" s="78" t="inlineStr">
        <is>
          <t>16:40</t>
        </is>
      </c>
      <c r="E12" s="78" t="inlineStr"/>
      <c r="F12" s="78" t="inlineStr">
        <is>
          <t>예원 라오제 — 난샹만터우뎬 샤오롱바오</t>
        </is>
      </c>
      <c r="G12" s="78" t="inlineStr">
        <is>
          <t>정원 담장 밖 상가. 1900년대 초부터 있던 원조 지점이 여기</t>
        </is>
      </c>
    </row>
    <row r="13">
      <c r="A13" s="78" t="inlineStr">
        <is>
          <t>9/19</t>
        </is>
      </c>
      <c r="B13" s="78" t="inlineStr">
        <is>
          <t>토</t>
        </is>
      </c>
      <c r="C13" s="78" t="inlineStr"/>
      <c r="D13" s="78" t="inlineStr">
        <is>
          <t>17:10</t>
        </is>
      </c>
      <c r="E13" s="78" t="inlineStr"/>
      <c r="F13" s="78" t="inlineStr">
        <is>
          <t>상하이 성황묘</t>
        </is>
      </c>
      <c r="G13" s="78" t="inlineStr">
        <is>
          <t>도교 사원. 해가 지면 붉은 조명이 들어와 낮과 완전히 다릅니다</t>
        </is>
      </c>
    </row>
    <row r="14">
      <c r="A14" s="78" t="inlineStr">
        <is>
          <t>9/19</t>
        </is>
      </c>
      <c r="B14" s="78" t="inlineStr">
        <is>
          <t>토</t>
        </is>
      </c>
      <c r="C14" s="78" t="inlineStr"/>
      <c r="D14" s="78" t="inlineStr">
        <is>
          <t>17:40</t>
        </is>
      </c>
      <c r="E14" s="78" t="inlineStr"/>
      <c r="F14" s="78" t="inlineStr">
        <is>
          <t>와이탄까지 도보</t>
        </is>
      </c>
      <c r="G14" s="78" t="inlineStr">
        <is>
          <t>15분. 옛 성곽 골목을 빠져나오면 갑자기 강변</t>
        </is>
      </c>
    </row>
    <row r="15">
      <c r="A15" s="78" t="inlineStr">
        <is>
          <t>9/19</t>
        </is>
      </c>
      <c r="B15" s="78" t="inlineStr">
        <is>
          <t>토</t>
        </is>
      </c>
      <c r="C15" s="78" t="inlineStr"/>
      <c r="D15" s="78" t="inlineStr">
        <is>
          <t>17:50</t>
        </is>
      </c>
      <c r="E15" s="78" t="inlineStr"/>
      <c r="F15" s="78" t="inlineStr">
        <is>
          <t>황푸강변 일몰 · 조계지 석조 건물 열</t>
        </is>
      </c>
      <c r="G15" s="78" t="inlineStr"/>
    </row>
    <row r="16">
      <c r="A16" s="78" t="inlineStr">
        <is>
          <t>9/19</t>
        </is>
      </c>
      <c r="B16" s="78" t="inlineStr">
        <is>
          <t>토</t>
        </is>
      </c>
      <c r="C16" s="78" t="inlineStr"/>
      <c r="D16" s="78" t="inlineStr">
        <is>
          <t>18:30</t>
        </is>
      </c>
      <c r="E16" s="78" t="inlineStr"/>
      <c r="F16" s="78" t="inlineStr">
        <is>
          <t>푸동 스카이라인 야경 점등</t>
        </is>
      </c>
      <c r="G16" s="78" t="inlineStr">
        <is>
          <t>이 시간대가 상하이에서 가장 볼 만한 장면</t>
        </is>
      </c>
    </row>
    <row r="17">
      <c r="A17" s="78" t="inlineStr">
        <is>
          <t>9/19</t>
        </is>
      </c>
      <c r="B17" s="78" t="inlineStr">
        <is>
          <t>토</t>
        </is>
      </c>
      <c r="C17" s="78" t="inlineStr"/>
      <c r="D17" s="78" t="inlineStr">
        <is>
          <t>19:15</t>
        </is>
      </c>
      <c r="E17" s="78" t="inlineStr"/>
      <c r="F17" s="78" t="inlineStr">
        <is>
          <t>난징둥루 보행가로 걸어 돌아오며 저녁</t>
        </is>
      </c>
      <c r="G17" s="78" t="inlineStr">
        <is>
          <t>훙사오러우, 성젠바오. 보행가 큰길보다 한 블록 안쪽이 낫습니다</t>
        </is>
      </c>
    </row>
    <row r="18">
      <c r="A18" s="78" t="inlineStr">
        <is>
          <t>9/19</t>
        </is>
      </c>
      <c r="B18" s="78" t="inlineStr">
        <is>
          <t>토</t>
        </is>
      </c>
      <c r="C18" s="78" t="inlineStr"/>
      <c r="D18" s="78" t="inlineStr">
        <is>
          <t>21:00</t>
        </is>
      </c>
      <c r="E18" s="78" t="inlineStr"/>
      <c r="F18" s="78" t="inlineStr">
        <is>
          <t>숙소 복귀 · 취침</t>
        </is>
      </c>
      <c r="G18" s="78" t="inlineStr">
        <is>
          <t>36시간 이동의 중간 지점. 여기서 자두는 게 이번 일정의 핵심</t>
        </is>
      </c>
    </row>
    <row r="19">
      <c r="A19" s="78" t="inlineStr">
        <is>
          <t>9/19</t>
        </is>
      </c>
      <c r="B19" s="78" t="inlineStr">
        <is>
          <t>토</t>
        </is>
      </c>
      <c r="C19" s="78" t="inlineStr"/>
      <c r="D19" s="78" t="inlineStr">
        <is>
          <t>07:30</t>
        </is>
      </c>
      <c r="E19" s="78" t="inlineStr"/>
      <c r="F19" s="78" t="inlineStr">
        <is>
          <t>기상 · 조식</t>
        </is>
      </c>
      <c r="G19" s="78" t="inlineStr">
        <is>
          <t>날짜가 9/20으로 넘어갑니다</t>
        </is>
      </c>
    </row>
    <row r="20">
      <c r="A20" s="78" t="inlineStr">
        <is>
          <t>9/19</t>
        </is>
      </c>
      <c r="B20" s="78" t="inlineStr">
        <is>
          <t>토</t>
        </is>
      </c>
      <c r="C20" s="78" t="inlineStr"/>
      <c r="D20" s="78" t="inlineStr">
        <is>
          <t>08:30</t>
        </is>
      </c>
      <c r="E20" s="78" t="inlineStr"/>
      <c r="F20" s="78" t="inlineStr">
        <is>
          <t>체크아웃</t>
        </is>
      </c>
      <c r="G20" s="78" t="inlineStr"/>
    </row>
    <row r="21">
      <c r="A21" s="78" t="inlineStr">
        <is>
          <t>9/19</t>
        </is>
      </c>
      <c r="B21" s="78" t="inlineStr">
        <is>
          <t>토</t>
        </is>
      </c>
      <c r="C21" s="78" t="inlineStr"/>
      <c r="D21" s="78" t="inlineStr">
        <is>
          <t>08:50</t>
        </is>
      </c>
      <c r="E21" s="78" t="inlineStr">
        <is>
          <t>지하철 2호선</t>
        </is>
      </c>
      <c r="F21" s="78" t="inlineStr">
        <is>
          <t>푸동 국제공항</t>
        </is>
      </c>
      <c r="G21" s="78" t="inlineStr">
        <is>
          <t>8위안 · 1시간 15분 · 광란루역에서 열차를 갈아타야 함(같은 2호선이지만 운행이 끊김)</t>
        </is>
      </c>
    </row>
    <row r="22">
      <c r="A22" s="78" t="inlineStr">
        <is>
          <t>9/19</t>
        </is>
      </c>
      <c r="B22" s="78" t="inlineStr">
        <is>
          <t>토</t>
        </is>
      </c>
      <c r="C22" s="78" t="inlineStr"/>
      <c r="D22" s="78" t="inlineStr">
        <is>
          <t>10:15</t>
        </is>
      </c>
      <c r="E22" s="78" t="inlineStr"/>
      <c r="F22" s="78" t="inlineStr">
        <is>
          <t>푸동공항 도착 · 체크인</t>
        </is>
      </c>
      <c r="G22" s="78" t="inlineStr">
        <is>
          <t>12:50 출발 기준 2시간 35분 전</t>
        </is>
      </c>
    </row>
    <row r="23">
      <c r="A23" s="78" t="inlineStr">
        <is>
          <t>9/19</t>
        </is>
      </c>
      <c r="B23" s="78" t="inlineStr">
        <is>
          <t>토</t>
        </is>
      </c>
      <c r="C23" s="78" t="inlineStr"/>
      <c r="D23" s="78" t="inlineStr"/>
      <c r="E23" s="78" t="inlineStr">
        <is>
          <t>주의</t>
        </is>
      </c>
      <c r="F23" s="78" t="inlineStr">
        <is>
          <t>오늘 하루의 유일한 관문은 예원 16:30 폐장입니다. 매표 마감은 그보다 이르니 16시 전에는 들어가야 해요. 입국 심사가 밀려 15:30을 넘길 것 같으면 체크인을 건너뛰고 10호선으로 예원역까지 직행하세요(짐은 상가 물품보관함 또는 저녁에 숙소로). 그래도 못 들어가면 담장 밖 예원 라오제와 성황묘는 밤에 더 좋습니다 — 등롱 조명이 들어오면 정원 안보다 오히려 인상적이라는 평이 많아요.</t>
        </is>
      </c>
      <c r="G23" s="78" t="inlineStr"/>
    </row>
    <row r="24">
      <c r="A24" s="78" t="inlineStr">
        <is>
          <t>9/19</t>
        </is>
      </c>
      <c r="B24" s="78" t="inlineStr">
        <is>
          <t>토</t>
        </is>
      </c>
      <c r="C24" s="78" t="inlineStr"/>
      <c r="D24" s="78" t="inlineStr"/>
      <c r="E24" s="78" t="inlineStr">
        <is>
          <t>주의</t>
        </is>
      </c>
      <c r="F24" s="78" t="inlineStr">
        <is>
          <t>알리페이 또는 위챗페이를 출발 전에 반드시 세팅하세요. 상하이는 노점·지하철·택시까지 QR 결제가 기본이고 해외 신용카드는 거부되는 곳이 많습니다. 두 앱 모두 해외 카드 연동이 되니 한국에서 미리 등록하고 소액 결제로 작동을 확인해두세요. 인터넷은 구글·카카오가 차단되니 한국 통신사 로밍을 켜두면 우회됩니다.</t>
        </is>
      </c>
      <c r="G24" s="78" t="inlineStr"/>
    </row>
    <row r="25">
      <c r="A25" s="78" t="inlineStr">
        <is>
          <t>9/19</t>
        </is>
      </c>
      <c r="B25" s="78" t="inlineStr">
        <is>
          <t>토</t>
        </is>
      </c>
      <c r="C25" s="78" t="inlineStr"/>
      <c r="D25" s="78" t="inlineStr"/>
      <c r="E25" s="78" t="inlineStr">
        <is>
          <t>주의</t>
        </is>
      </c>
      <c r="F25" s="78" t="inlineStr">
        <is>
          <t>체력이 남으면 저녁 후 황푸강 야경 유람선(120위안, 40분)을, 조용한 쪽이 좋으면 신톈디(10호선 두 정거장)를 붙이세요. 반대로 지치면 예원을 버리고 와이탄 야경 하나만 봐도 충분합니다.</t>
        </is>
      </c>
      <c r="G25" s="78" t="inlineStr"/>
    </row>
    <row r="26">
      <c r="A26" s="79" t="inlineStr"/>
      <c r="B26" s="79" t="inlineStr"/>
      <c r="C26" s="79" t="inlineStr">
        <is>
          <t>✈ 이동</t>
        </is>
      </c>
      <c r="D26" s="79" t="inlineStr"/>
      <c r="E26" s="79" t="inlineStr"/>
      <c r="F26" s="79" t="inlineStr">
        <is>
          <t>상하이 푸동 12:50 → 트빌리시 19:00</t>
        </is>
      </c>
      <c r="G26" s="79" t="inlineStr">
        <is>
          <t>시차 4시간 포함 총 소요 10시간 10분. 김포 출발부터 세면 36시간짜리 여정의 마지막 구간입니다. 상하이에서 한 번 잤기 때문에 도착일 컨디션은 나쁘지 않습니다.</t>
        </is>
      </c>
    </row>
    <row r="27">
      <c r="A27" s="77" t="inlineStr">
        <is>
          <t>9/20</t>
        </is>
      </c>
      <c r="B27" s="77" t="inlineStr">
        <is>
          <t>일</t>
        </is>
      </c>
      <c r="C27" s="77" t="inlineStr">
        <is>
          <t>트빌리시 도착</t>
        </is>
      </c>
      <c r="D27" s="77" t="inlineStr"/>
      <c r="E27" s="77" t="inlineStr"/>
      <c r="F27" s="77" t="inlineStr">
        <is>
          <t>36시간 이동의 끝. 오늘은 숙소까지 가는 것이 전부.</t>
        </is>
      </c>
      <c r="G27" s="77" t="inlineStr"/>
    </row>
    <row r="28">
      <c r="A28" s="78" t="inlineStr">
        <is>
          <t>9/20</t>
        </is>
      </c>
      <c r="B28" s="78" t="inlineStr">
        <is>
          <t>일</t>
        </is>
      </c>
      <c r="C28" s="78" t="inlineStr"/>
      <c r="D28" s="78" t="inlineStr">
        <is>
          <t>19:00</t>
        </is>
      </c>
      <c r="E28" s="78" t="inlineStr"/>
      <c r="F28" s="78" t="inlineStr">
        <is>
          <t>트빌리시 국제공항 도착</t>
        </is>
      </c>
      <c r="G28" s="78" t="inlineStr"/>
    </row>
    <row r="29">
      <c r="A29" s="78" t="inlineStr">
        <is>
          <t>9/20</t>
        </is>
      </c>
      <c r="B29" s="78" t="inlineStr">
        <is>
          <t>일</t>
        </is>
      </c>
      <c r="C29" s="78" t="inlineStr"/>
      <c r="D29" s="78" t="inlineStr">
        <is>
          <t>20:00</t>
        </is>
      </c>
      <c r="E29" s="78" t="inlineStr"/>
      <c r="F29" s="78" t="inlineStr">
        <is>
          <t>입국 수속 · 공항 ATM에서 라리 인출</t>
        </is>
      </c>
      <c r="G29" s="78" t="inlineStr">
        <is>
          <t>공항 환전소는 환율이 나쁨. ATM 쪽이 유리</t>
        </is>
      </c>
    </row>
    <row r="30">
      <c r="A30" s="78" t="inlineStr">
        <is>
          <t>9/20</t>
        </is>
      </c>
      <c r="B30" s="78" t="inlineStr">
        <is>
          <t>일</t>
        </is>
      </c>
      <c r="C30" s="78" t="inlineStr"/>
      <c r="D30" s="78" t="inlineStr">
        <is>
          <t>20:30</t>
        </is>
      </c>
      <c r="E30" s="78" t="inlineStr">
        <is>
          <t>37번 버스</t>
        </is>
      </c>
      <c r="F30" s="78" t="inlineStr">
        <is>
          <t>시내로</t>
        </is>
      </c>
      <c r="G30" s="78" t="inlineStr">
        <is>
          <t>1라리 · 40분 · 24시간 운행</t>
        </is>
      </c>
    </row>
    <row r="31">
      <c r="A31" s="78" t="inlineStr">
        <is>
          <t>9/20</t>
        </is>
      </c>
      <c r="B31" s="78" t="inlineStr">
        <is>
          <t>일</t>
        </is>
      </c>
      <c r="C31" s="78" t="inlineStr"/>
      <c r="D31" s="78" t="inlineStr">
        <is>
          <t>21:30</t>
        </is>
      </c>
      <c r="E31" s="78" t="inlineStr"/>
      <c r="F31" s="78" t="inlineStr">
        <is>
          <t>숙소 체크인</t>
        </is>
      </c>
      <c r="G31" s="78" t="inlineStr"/>
    </row>
    <row r="32">
      <c r="A32" s="78" t="inlineStr">
        <is>
          <t>9/20</t>
        </is>
      </c>
      <c r="B32" s="78" t="inlineStr">
        <is>
          <t>일</t>
        </is>
      </c>
      <c r="C32" s="78" t="inlineStr"/>
      <c r="D32" s="78" t="inlineStr">
        <is>
          <t>22:00</t>
        </is>
      </c>
      <c r="E32" s="78" t="inlineStr"/>
      <c r="F32" s="78" t="inlineStr">
        <is>
          <t>근처에서 늦은 저녁</t>
        </is>
      </c>
      <c r="G32" s="78" t="inlineStr"/>
    </row>
    <row r="33">
      <c r="A33" s="77" t="inlineStr">
        <is>
          <t>9/21</t>
        </is>
      </c>
      <c r="B33" s="77" t="inlineStr">
        <is>
          <t>월</t>
        </is>
      </c>
      <c r="C33" s="77" t="inlineStr">
        <is>
          <t>트빌리시 구시가 — 월요일 · 야외만</t>
        </is>
      </c>
      <c r="D33" s="77" t="inlineStr"/>
      <c r="E33" s="77" t="inlineStr"/>
      <c r="F33" s="77" t="inlineStr">
        <is>
          <t>월요일이라 박물관은 대부분 닫습니다. 그래서 오늘은 능선의 요새와 유황온천 골목만 걷습니다.</t>
        </is>
      </c>
      <c r="G33" s="77" t="inlineStr"/>
    </row>
    <row r="34">
      <c r="A34" s="78" t="inlineStr">
        <is>
          <t>9/21</t>
        </is>
      </c>
      <c r="B34" s="78" t="inlineStr">
        <is>
          <t>월</t>
        </is>
      </c>
      <c r="C34" s="78" t="inlineStr"/>
      <c r="D34" s="78" t="inlineStr">
        <is>
          <t>09:00</t>
        </is>
      </c>
      <c r="E34" s="78" t="inlineStr"/>
      <c r="F34" s="78" t="inlineStr">
        <is>
          <t>늦은 조식 · 자유광장 방향으로</t>
        </is>
      </c>
      <c r="G34" s="78" t="inlineStr"/>
    </row>
    <row r="35">
      <c r="A35" s="78" t="inlineStr">
        <is>
          <t>9/21</t>
        </is>
      </c>
      <c r="B35" s="78" t="inlineStr">
        <is>
          <t>월</t>
        </is>
      </c>
      <c r="C35" s="78" t="inlineStr"/>
      <c r="D35" s="78" t="inlineStr">
        <is>
          <t>09:30</t>
        </is>
      </c>
      <c r="E35" s="78" t="inlineStr"/>
      <c r="F35" s="78" t="inlineStr">
        <is>
          <t>시오니 대성당</t>
        </is>
      </c>
      <c r="G35" s="78" t="inlineStr">
        <is>
          <t>무료 · 조지아 정교회의 옛 총본산. 성 니노의 포도나무 십자가가 있습니다</t>
        </is>
      </c>
    </row>
    <row r="36">
      <c r="A36" s="78" t="inlineStr">
        <is>
          <t>9/21</t>
        </is>
      </c>
      <c r="B36" s="78" t="inlineStr">
        <is>
          <t>월</t>
        </is>
      </c>
      <c r="C36" s="78" t="inlineStr"/>
      <c r="D36" s="78" t="inlineStr">
        <is>
          <t>10:00</t>
        </is>
      </c>
      <c r="E36" s="78" t="inlineStr"/>
      <c r="F36" s="78" t="inlineStr">
        <is>
          <t>평화의 다리 · 리케 공원</t>
        </is>
      </c>
      <c r="G36" s="78" t="inlineStr"/>
    </row>
    <row r="37">
      <c r="A37" s="78" t="inlineStr">
        <is>
          <t>9/21</t>
        </is>
      </c>
      <c r="B37" s="78" t="inlineStr">
        <is>
          <t>월</t>
        </is>
      </c>
      <c r="C37" s="78" t="inlineStr"/>
      <c r="D37" s="78" t="inlineStr">
        <is>
          <t>10:30</t>
        </is>
      </c>
      <c r="E37" s="78" t="inlineStr">
        <is>
          <t>케이블카</t>
        </is>
      </c>
      <c r="F37" s="78" t="inlineStr">
        <is>
          <t>리케 공원 케이블카로 능선까지</t>
        </is>
      </c>
      <c r="G37" s="78" t="inlineStr">
        <is>
          <t>편도 2.5라리 · 메트로머니 카드로 탑승 · 3분</t>
        </is>
      </c>
    </row>
    <row r="38">
      <c r="A38" s="78" t="inlineStr">
        <is>
          <t>9/21</t>
        </is>
      </c>
      <c r="B38" s="78" t="inlineStr">
        <is>
          <t>월</t>
        </is>
      </c>
      <c r="C38" s="78" t="inlineStr"/>
      <c r="D38" s="78" t="inlineStr">
        <is>
          <t>11:00</t>
        </is>
      </c>
      <c r="E38" s="78" t="inlineStr"/>
      <c r="F38" s="78" t="inlineStr">
        <is>
          <t>나리칼라 요새</t>
        </is>
      </c>
      <c r="G38" s="78" t="inlineStr">
        <is>
          <t>[무료] 4세기 성채. 구시가와 므트크바리 강이 통째로 내려다보입니다</t>
        </is>
      </c>
    </row>
    <row r="39">
      <c r="A39" s="78" t="inlineStr">
        <is>
          <t>9/21</t>
        </is>
      </c>
      <c r="B39" s="78" t="inlineStr">
        <is>
          <t>월</t>
        </is>
      </c>
      <c r="C39" s="78" t="inlineStr"/>
      <c r="D39" s="78" t="inlineStr">
        <is>
          <t>12:00</t>
        </is>
      </c>
      <c r="E39" s="78" t="inlineStr"/>
      <c r="F39" s="78" t="inlineStr">
        <is>
          <t>능선길을 따라 조지아의 어머니 상까지 도보</t>
        </is>
      </c>
      <c r="G39" s="78" t="inlineStr"/>
    </row>
    <row r="40">
      <c r="A40" s="78" t="inlineStr">
        <is>
          <t>9/21</t>
        </is>
      </c>
      <c r="B40" s="78" t="inlineStr">
        <is>
          <t>월</t>
        </is>
      </c>
      <c r="C40" s="78" t="inlineStr"/>
      <c r="D40" s="78" t="inlineStr">
        <is>
          <t>13:00</t>
        </is>
      </c>
      <c r="E40" s="78" t="inlineStr"/>
      <c r="F40" s="78" t="inlineStr">
        <is>
          <t>구시가 점심</t>
        </is>
      </c>
      <c r="G40" s="78" t="inlineStr"/>
    </row>
    <row r="41">
      <c r="A41" s="78" t="inlineStr">
        <is>
          <t>9/21</t>
        </is>
      </c>
      <c r="B41" s="78" t="inlineStr">
        <is>
          <t>월</t>
        </is>
      </c>
      <c r="C41" s="78" t="inlineStr"/>
      <c r="D41" s="78" t="inlineStr">
        <is>
          <t>14:30</t>
        </is>
      </c>
      <c r="E41" s="78" t="inlineStr"/>
      <c r="F41" s="78" t="inlineStr">
        <is>
          <t>아바노투바니 유황온천</t>
        </is>
      </c>
      <c r="G41" s="78" t="inlineStr">
        <is>
          <t>공동탕 5~10라리 · 개인탕 1시간 40~70라리. 벽돌 돔이 늘어선 골목 자체가 볼거리</t>
        </is>
      </c>
    </row>
    <row r="42">
      <c r="A42" s="78" t="inlineStr">
        <is>
          <t>9/21</t>
        </is>
      </c>
      <c r="B42" s="78" t="inlineStr">
        <is>
          <t>월</t>
        </is>
      </c>
      <c r="C42" s="78" t="inlineStr"/>
      <c r="D42" s="78" t="inlineStr">
        <is>
          <t>16:30</t>
        </is>
      </c>
      <c r="E42" s="78" t="inlineStr"/>
      <c r="F42" s="78" t="inlineStr">
        <is>
          <t>시계탑 · 골목 산책</t>
        </is>
      </c>
      <c r="G42" s="78" t="inlineStr"/>
    </row>
    <row r="43">
      <c r="A43" s="78" t="inlineStr">
        <is>
          <t>9/21</t>
        </is>
      </c>
      <c r="B43" s="78" t="inlineStr">
        <is>
          <t>월</t>
        </is>
      </c>
      <c r="C43" s="78" t="inlineStr"/>
      <c r="D43" s="78" t="inlineStr">
        <is>
          <t>19:00</t>
        </is>
      </c>
      <c r="E43" s="78" t="inlineStr"/>
      <c r="F43" s="78" t="inlineStr">
        <is>
          <t>저녁 — 조지아 첫 밤</t>
        </is>
      </c>
      <c r="G43" s="78" t="inlineStr"/>
    </row>
    <row r="44">
      <c r="A44" s="78" t="inlineStr">
        <is>
          <t>9/21</t>
        </is>
      </c>
      <c r="B44" s="78" t="inlineStr">
        <is>
          <t>월</t>
        </is>
      </c>
      <c r="C44" s="78" t="inlineStr"/>
      <c r="D44" s="78" t="inlineStr"/>
      <c r="E44" s="78" t="inlineStr">
        <is>
          <t>주의</t>
        </is>
      </c>
      <c r="F44" s="78" t="inlineStr">
        <is>
          <t>월요일에 실내를 하나도 넣지 않은 것은 의도입니다. 조지아 국립박물관을 비롯한 트빌리시 주요 실내 시설이 월요일에 쉽니다. 야외를 오늘로 몰고 박물관은 9/22 오후로 넘겼습니다.</t>
        </is>
      </c>
      <c r="G44" s="78" t="inlineStr"/>
    </row>
    <row r="45">
      <c r="A45" s="78" t="inlineStr">
        <is>
          <t>9/21</t>
        </is>
      </c>
      <c r="B45" s="78" t="inlineStr">
        <is>
          <t>월</t>
        </is>
      </c>
      <c r="C45" s="78" t="inlineStr"/>
      <c r="D45" s="78" t="inlineStr"/>
      <c r="E45" s="78" t="inlineStr">
        <is>
          <t>주의</t>
        </is>
      </c>
      <c r="F45" s="78" t="inlineStr">
        <is>
          <t>케이블카는 올라갈 때만 타세요. 내려올 때는 능선을 따라 조지아의 어머니 상 쪽으로 걸으면 구시가 지붕이 계속 보입니다. 30~40분 내리막이라 부담이 없습니다.</t>
        </is>
      </c>
      <c r="G45" s="78" t="inlineStr"/>
    </row>
    <row r="46">
      <c r="A46" s="77" t="inlineStr">
        <is>
          <t>9/22</t>
        </is>
      </c>
      <c r="B46" s="77" t="inlineStr">
        <is>
          <t>화</t>
        </is>
      </c>
      <c r="C46" s="77" t="inlineStr">
        <is>
          <t>므츠헤타 반나절</t>
        </is>
      </c>
      <c r="D46" s="77" t="inlineStr"/>
      <c r="E46" s="77" t="inlineStr"/>
      <c r="F46" s="77" t="inlineStr">
        <is>
          <t>조지아 정교회의 옛 수도. 오후엔 트빌리시로 돌아와 어제 닫혀 있던 국립박물관을 봅니다.</t>
        </is>
      </c>
      <c r="G46" s="77" t="inlineStr"/>
    </row>
    <row r="47">
      <c r="A47" s="78" t="inlineStr">
        <is>
          <t>9/22</t>
        </is>
      </c>
      <c r="B47" s="78" t="inlineStr">
        <is>
          <t>화</t>
        </is>
      </c>
      <c r="C47" s="78" t="inlineStr"/>
      <c r="D47" s="78" t="inlineStr">
        <is>
          <t>08:30</t>
        </is>
      </c>
      <c r="E47" s="78" t="inlineStr"/>
      <c r="F47" s="78" t="inlineStr">
        <is>
          <t>지하철로 디두베 터미널</t>
        </is>
      </c>
      <c r="G47" s="78" t="inlineStr"/>
    </row>
    <row r="48">
      <c r="A48" s="78" t="inlineStr">
        <is>
          <t>9/22</t>
        </is>
      </c>
      <c r="B48" s="78" t="inlineStr">
        <is>
          <t>화</t>
        </is>
      </c>
      <c r="C48" s="78" t="inlineStr"/>
      <c r="D48" s="78" t="inlineStr">
        <is>
          <t>09:00</t>
        </is>
      </c>
      <c r="E48" s="78" t="inlineStr">
        <is>
          <t>마르슈르트카</t>
        </is>
      </c>
      <c r="F48" s="78" t="inlineStr">
        <is>
          <t>므츠헤타행</t>
        </is>
      </c>
      <c r="G48" s="78" t="inlineStr">
        <is>
          <t>1.5라리 · 30분 · 20분 간격</t>
        </is>
      </c>
    </row>
    <row r="49">
      <c r="A49" s="78" t="inlineStr">
        <is>
          <t>9/22</t>
        </is>
      </c>
      <c r="B49" s="78" t="inlineStr">
        <is>
          <t>화</t>
        </is>
      </c>
      <c r="C49" s="78" t="inlineStr"/>
      <c r="D49" s="78" t="inlineStr">
        <is>
          <t>09:45</t>
        </is>
      </c>
      <c r="E49" s="78" t="inlineStr"/>
      <c r="F49" s="78" t="inlineStr">
        <is>
          <t>스베티츠호벨리 대성당</t>
        </is>
      </c>
      <c r="G49" s="78" t="inlineStr">
        <is>
          <t>[무료] 11세기. 그리스도의 옷이 묻혔다는 전승이 있는 곳</t>
        </is>
      </c>
    </row>
    <row r="50">
      <c r="A50" s="78" t="inlineStr">
        <is>
          <t>9/22</t>
        </is>
      </c>
      <c r="B50" s="78" t="inlineStr">
        <is>
          <t>화</t>
        </is>
      </c>
      <c r="C50" s="78" t="inlineStr"/>
      <c r="D50" s="78" t="inlineStr">
        <is>
          <t>11:00</t>
        </is>
      </c>
      <c r="E50" s="78" t="inlineStr">
        <is>
          <t>택시</t>
        </is>
      </c>
      <c r="F50" s="78" t="inlineStr">
        <is>
          <t>즈바리 수도원 왕복</t>
        </is>
      </c>
      <c r="G50" s="78" t="inlineStr">
        <is>
          <t>25라리 · 대기 포함으로 흥정. 언덕 위 7km, 대중교통이 없습니다</t>
        </is>
      </c>
    </row>
    <row r="51">
      <c r="A51" s="78" t="inlineStr">
        <is>
          <t>9/22</t>
        </is>
      </c>
      <c r="B51" s="78" t="inlineStr">
        <is>
          <t>화</t>
        </is>
      </c>
      <c r="C51" s="78" t="inlineStr"/>
      <c r="D51" s="78" t="inlineStr">
        <is>
          <t>12:30</t>
        </is>
      </c>
      <c r="E51" s="78" t="inlineStr"/>
      <c r="F51" s="78" t="inlineStr">
        <is>
          <t>즈바리에서 므트크바리 · 아라그비 두 강 합류 조망</t>
        </is>
      </c>
      <c r="G51" s="78" t="inlineStr"/>
    </row>
    <row r="52">
      <c r="A52" s="78" t="inlineStr">
        <is>
          <t>9/22</t>
        </is>
      </c>
      <c r="B52" s="78" t="inlineStr">
        <is>
          <t>화</t>
        </is>
      </c>
      <c r="C52" s="78" t="inlineStr"/>
      <c r="D52" s="78" t="inlineStr">
        <is>
          <t>13:30</t>
        </is>
      </c>
      <c r="E52" s="78" t="inlineStr"/>
      <c r="F52" s="78" t="inlineStr">
        <is>
          <t>므츠헤타에서 점심</t>
        </is>
      </c>
      <c r="G52" s="78" t="inlineStr"/>
    </row>
    <row r="53">
      <c r="A53" s="78" t="inlineStr">
        <is>
          <t>9/22</t>
        </is>
      </c>
      <c r="B53" s="78" t="inlineStr">
        <is>
          <t>화</t>
        </is>
      </c>
      <c r="C53" s="78" t="inlineStr"/>
      <c r="D53" s="78" t="inlineStr">
        <is>
          <t>15:00</t>
        </is>
      </c>
      <c r="E53" s="78" t="inlineStr"/>
      <c r="F53" s="78" t="inlineStr">
        <is>
          <t>트빌리시 복귀</t>
        </is>
      </c>
      <c r="G53" s="78" t="inlineStr"/>
    </row>
    <row r="54">
      <c r="A54" s="78" t="inlineStr">
        <is>
          <t>9/22</t>
        </is>
      </c>
      <c r="B54" s="78" t="inlineStr">
        <is>
          <t>화</t>
        </is>
      </c>
      <c r="C54" s="78" t="inlineStr"/>
      <c r="D54" s="78" t="inlineStr">
        <is>
          <t>16:00</t>
        </is>
      </c>
      <c r="E54" s="78" t="inlineStr"/>
      <c r="F54" s="78" t="inlineStr">
        <is>
          <t>조지아 국립박물관</t>
        </is>
      </c>
      <c r="G54" s="78" t="inlineStr">
        <is>
          <t>[15라리] 15라리 · 화~일 10:00~18:00, 월요일 휴관. 지하 고고학관의 기원전 금세공이 핵심</t>
        </is>
      </c>
    </row>
    <row r="55">
      <c r="A55" s="78" t="inlineStr">
        <is>
          <t>9/22</t>
        </is>
      </c>
      <c r="B55" s="78" t="inlineStr">
        <is>
          <t>화</t>
        </is>
      </c>
      <c r="C55" s="78" t="inlineStr"/>
      <c r="D55" s="78" t="inlineStr">
        <is>
          <t>18:00</t>
        </is>
      </c>
      <c r="E55" s="78" t="inlineStr"/>
      <c r="F55" s="78" t="inlineStr">
        <is>
          <t>드라이 브리지 벼룩시장</t>
        </is>
      </c>
      <c r="G55" s="78" t="inlineStr">
        <is>
          <t>소련 시절 훈장·카메라·식기가 나옵니다. 해질 무렵에 파장</t>
        </is>
      </c>
    </row>
    <row r="56">
      <c r="A56" s="78" t="inlineStr">
        <is>
          <t>9/22</t>
        </is>
      </c>
      <c r="B56" s="78" t="inlineStr">
        <is>
          <t>화</t>
        </is>
      </c>
      <c r="C56" s="78" t="inlineStr"/>
      <c r="D56" s="78" t="inlineStr">
        <is>
          <t>19:30</t>
        </is>
      </c>
      <c r="E56" s="78" t="inlineStr"/>
      <c r="F56" s="78" t="inlineStr">
        <is>
          <t>저녁 · 트빌리시 야경</t>
        </is>
      </c>
      <c r="G56" s="78" t="inlineStr"/>
    </row>
    <row r="57">
      <c r="A57" s="78" t="inlineStr">
        <is>
          <t>9/22</t>
        </is>
      </c>
      <c r="B57" s="78" t="inlineStr">
        <is>
          <t>화</t>
        </is>
      </c>
      <c r="C57" s="78" t="inlineStr"/>
      <c r="D57" s="78" t="inlineStr"/>
      <c r="E57" s="78" t="inlineStr">
        <is>
          <t>주의</t>
        </is>
      </c>
      <c r="F57" s="78" t="inlineStr">
        <is>
          <t>즈바리는 대중교통이 없습니다. 므츠헤타에서 직선으로는 2km인데 강을 건너 산을 올라야 해서 도로로는 7km입니다. 대성당 앞에서 대기 포함 25라리로 흥정하세요 — 걸어 오르는 길은 그늘 없는 차도라 권하지 않습니다.</t>
        </is>
      </c>
      <c r="G57" s="78" t="inlineStr"/>
    </row>
    <row r="58">
      <c r="A58" s="78" t="inlineStr">
        <is>
          <t>9/22</t>
        </is>
      </c>
      <c r="B58" s="78" t="inlineStr">
        <is>
          <t>화</t>
        </is>
      </c>
      <c r="C58" s="78" t="inlineStr"/>
      <c r="D58" s="78" t="inlineStr"/>
      <c r="E58" s="78" t="inlineStr">
        <is>
          <t>주의</t>
        </is>
      </c>
      <c r="F58" s="78" t="inlineStr">
        <is>
          <t>오전 므츠헤타 · 오후 트빌리시로 나눈 것은 월요일 휴관을 피하려고입니다. 국립박물관을 어제 넣었다면 헛걸음이었습니다.</t>
        </is>
      </c>
      <c r="G58" s="78" t="inlineStr"/>
    </row>
    <row r="59">
      <c r="A59" s="77" t="inlineStr">
        <is>
          <t>9/23</t>
        </is>
      </c>
      <c r="B59" s="77" t="inlineStr">
        <is>
          <t>수</t>
        </is>
      </c>
      <c r="C59" s="77" t="inlineStr">
        <is>
          <t>군사도로 → 카즈베기 — 첫차 · 2박 중 첫날</t>
        </is>
      </c>
      <c r="D59" s="77" t="inlineStr"/>
      <c r="E59" s="77" t="inlineStr"/>
      <c r="F59" s="77" t="inlineStr">
        <is>
          <t>첫차로 올라가 도착 당일 오후에 게르게티를 한 번 시도합니다. 오늘 흐려도 기회가 두 번 더 남습니다.</t>
        </is>
      </c>
      <c r="G59" s="77" t="inlineStr"/>
    </row>
    <row r="60">
      <c r="A60" s="78" t="inlineStr">
        <is>
          <t>9/23</t>
        </is>
      </c>
      <c r="B60" s="78" t="inlineStr">
        <is>
          <t>수</t>
        </is>
      </c>
      <c r="C60" s="78" t="inlineStr"/>
      <c r="D60" s="78" t="inlineStr">
        <is>
          <t>06:40</t>
        </is>
      </c>
      <c r="E60" s="78" t="inlineStr"/>
      <c r="F60" s="78" t="inlineStr">
        <is>
          <t>디두베 터미널 도착</t>
        </is>
      </c>
      <c r="G60" s="78" t="inlineStr">
        <is>
          <t>자리가 차면 출발하므로 일찍 갈수록 좋습니다</t>
        </is>
      </c>
    </row>
    <row r="61">
      <c r="A61" s="78" t="inlineStr">
        <is>
          <t>9/23</t>
        </is>
      </c>
      <c r="B61" s="78" t="inlineStr">
        <is>
          <t>수</t>
        </is>
      </c>
      <c r="C61" s="78" t="inlineStr"/>
      <c r="D61" s="78" t="inlineStr">
        <is>
          <t>07:00</t>
        </is>
      </c>
      <c r="E61" s="78" t="inlineStr">
        <is>
          <t>마르슈르트카</t>
        </is>
      </c>
      <c r="F61" s="78" t="inlineStr">
        <is>
          <t>스테판츠민다행</t>
        </is>
      </c>
      <c r="G61" s="78" t="inlineStr">
        <is>
          <t>15라리 · 3.5~4시간 · 06~18시 수시</t>
        </is>
      </c>
    </row>
    <row r="62">
      <c r="A62" s="78" t="inlineStr">
        <is>
          <t>9/23</t>
        </is>
      </c>
      <c r="B62" s="78" t="inlineStr">
        <is>
          <t>수</t>
        </is>
      </c>
      <c r="C62" s="78" t="inlineStr"/>
      <c r="D62" s="78" t="inlineStr">
        <is>
          <t>11:00</t>
        </is>
      </c>
      <c r="E62" s="78" t="inlineStr"/>
      <c r="F62" s="78" t="inlineStr">
        <is>
          <t>스테판츠민다 도착 · 체크인</t>
        </is>
      </c>
      <c r="G62" s="78" t="inlineStr"/>
    </row>
    <row r="63">
      <c r="A63" s="78" t="inlineStr">
        <is>
          <t>9/23</t>
        </is>
      </c>
      <c r="B63" s="78" t="inlineStr">
        <is>
          <t>수</t>
        </is>
      </c>
      <c r="C63" s="78" t="inlineStr"/>
      <c r="D63" s="78" t="inlineStr">
        <is>
          <t>12:00</t>
        </is>
      </c>
      <c r="E63" s="78" t="inlineStr"/>
      <c r="F63" s="78" t="inlineStr">
        <is>
          <t>마을 점심</t>
        </is>
      </c>
      <c r="G63" s="78" t="inlineStr"/>
    </row>
    <row r="64">
      <c r="A64" s="78" t="inlineStr">
        <is>
          <t>9/23</t>
        </is>
      </c>
      <c r="B64" s="78" t="inlineStr">
        <is>
          <t>수</t>
        </is>
      </c>
      <c r="C64" s="78" t="inlineStr"/>
      <c r="D64" s="78" t="inlineStr">
        <is>
          <t>13:00</t>
        </is>
      </c>
      <c r="E64" s="78" t="inlineStr">
        <is>
          <t>4WD</t>
        </is>
      </c>
      <c r="F64" s="78" t="inlineStr">
        <is>
          <t>게르게티 삼위일체 교회까지 4WD</t>
        </is>
      </c>
      <c r="G64" s="78" t="inlineStr">
        <is>
          <t>편도 25라리 · 20분. 오르막 400m를 대신 올라줍니다</t>
        </is>
      </c>
    </row>
    <row r="65">
      <c r="A65" s="78" t="inlineStr">
        <is>
          <t>9/23</t>
        </is>
      </c>
      <c r="B65" s="78" t="inlineStr">
        <is>
          <t>수</t>
        </is>
      </c>
      <c r="C65" s="78" t="inlineStr"/>
      <c r="D65" s="78" t="inlineStr">
        <is>
          <t>14:00</t>
        </is>
      </c>
      <c r="E65" s="78" t="inlineStr"/>
      <c r="F65" s="78" t="inlineStr">
        <is>
          <t>게르게티 삼위일체 교회 · 카즈베기 산 조망</t>
        </is>
      </c>
      <c r="G65" s="78" t="inlineStr">
        <is>
          <t>[무료] 해발 2,170m. 5,047m 카즈베기 봉이 교회 뒤로 섭니다</t>
        </is>
      </c>
    </row>
    <row r="66">
      <c r="A66" s="78" t="inlineStr">
        <is>
          <t>9/23</t>
        </is>
      </c>
      <c r="B66" s="78" t="inlineStr">
        <is>
          <t>수</t>
        </is>
      </c>
      <c r="C66" s="78" t="inlineStr"/>
      <c r="D66" s="78" t="inlineStr">
        <is>
          <t>15:30</t>
        </is>
      </c>
      <c r="E66" s="78" t="inlineStr"/>
      <c r="F66" s="78" t="inlineStr">
        <is>
          <t>도보 하산</t>
        </is>
      </c>
      <c r="G66" s="78" t="inlineStr">
        <is>
          <t>2km · 내리막 1시간. 올라온 길보다 마을 쪽 능선길이 경치가 좋습니다</t>
        </is>
      </c>
    </row>
    <row r="67">
      <c r="A67" s="78" t="inlineStr">
        <is>
          <t>9/23</t>
        </is>
      </c>
      <c r="B67" s="78" t="inlineStr">
        <is>
          <t>수</t>
        </is>
      </c>
      <c r="C67" s="78" t="inlineStr"/>
      <c r="D67" s="78" t="inlineStr">
        <is>
          <t>17:00</t>
        </is>
      </c>
      <c r="E67" s="78" t="inlineStr"/>
      <c r="F67" s="78" t="inlineStr">
        <is>
          <t>마을 산책 · 내일 주타 택시 동행 구하기</t>
        </is>
      </c>
      <c r="G67" s="78" t="inlineStr"/>
    </row>
    <row r="68">
      <c r="A68" s="78" t="inlineStr">
        <is>
          <t>9/23</t>
        </is>
      </c>
      <c r="B68" s="78" t="inlineStr">
        <is>
          <t>수</t>
        </is>
      </c>
      <c r="C68" s="78" t="inlineStr"/>
      <c r="D68" s="78" t="inlineStr">
        <is>
          <t>19:00</t>
        </is>
      </c>
      <c r="E68" s="78" t="inlineStr"/>
      <c r="F68" s="78" t="inlineStr">
        <is>
          <t>게스트하우스 저녁</t>
        </is>
      </c>
      <c r="G68" s="78" t="inlineStr"/>
    </row>
    <row r="69">
      <c r="A69" s="78" t="inlineStr">
        <is>
          <t>9/23</t>
        </is>
      </c>
      <c r="B69" s="78" t="inlineStr">
        <is>
          <t>수</t>
        </is>
      </c>
      <c r="C69" s="78" t="inlineStr"/>
      <c r="D69" s="78" t="inlineStr"/>
      <c r="E69" s="78" t="inlineStr">
        <is>
          <t>주의</t>
        </is>
      </c>
      <c r="F69" s="78" t="inlineStr">
        <is>
          <t>카즈베기 2박이 이번 일정의 뼈대입니다. 게르게티는 구름이 걷혀야 의미가 있는데 1박으로 잡으면 시도가 한 번뿐이고, 그 한 번이 흐리면 이 여행의 대표 장면이 통째로 사라집니다. 오늘 오후 · 내일 오후 · 모레 오전으로 세 번 볼 기회를 두었습니다. 그만큼 다른 곳을 덜 보지만, 날씨에 일정 전체가 인질로 잡히지 않습니다.</t>
        </is>
      </c>
      <c r="G69" s="78" t="inlineStr"/>
    </row>
    <row r="70">
      <c r="A70" s="78" t="inlineStr">
        <is>
          <t>9/23</t>
        </is>
      </c>
      <c r="B70" s="78" t="inlineStr">
        <is>
          <t>수</t>
        </is>
      </c>
      <c r="C70" s="78" t="inlineStr"/>
      <c r="D70" s="78" t="inlineStr"/>
      <c r="E70" s="78" t="inlineStr">
        <is>
          <t>주의</t>
        </is>
      </c>
      <c r="F70" s="78" t="inlineStr">
        <is>
          <t>아나누리 요새와 구다우리 전망대에서 내리지 마세요. 마르슈르트카는 정차하지 않고, 억지로 내리면 다음 차가 언제 올지 알 수 없습니다. 자리도 이미 차 있어 못 탈 수 있어요. 차창 밖으로 보는 것으로 충분합니다 — 왼쪽 창가에 앉으면 아나누리 저수지가 잘 보입니다.</t>
        </is>
      </c>
      <c r="G70" s="78" t="inlineStr"/>
    </row>
    <row r="71">
      <c r="A71" s="77" t="inlineStr">
        <is>
          <t>9/24</t>
        </is>
      </c>
      <c r="B71" s="77" t="inlineStr">
        <is>
          <t>목</t>
        </is>
      </c>
      <c r="C71" s="77" t="inlineStr">
        <is>
          <t>주타 데이 트레킹 — 쉬운 코스 · 숙소 유지</t>
        </is>
      </c>
      <c r="D71" s="77" t="inlineStr"/>
      <c r="E71" s="77" t="inlineStr"/>
      <c r="F71" s="77" t="inlineStr">
        <is>
          <t>해발 2,200m 주타 마을에서 차우키 암벽을 마주 보고 걷는 완만한 왕복. 저녁엔 같은 숙소로 돌아옵니다.</t>
        </is>
      </c>
      <c r="G71" s="77" t="inlineStr"/>
    </row>
    <row r="72">
      <c r="A72" s="78" t="inlineStr">
        <is>
          <t>9/24</t>
        </is>
      </c>
      <c r="B72" s="78" t="inlineStr">
        <is>
          <t>목</t>
        </is>
      </c>
      <c r="C72" s="78" t="inlineStr"/>
      <c r="D72" s="78" t="inlineStr">
        <is>
          <t>08:00</t>
        </is>
      </c>
      <c r="E72" s="78" t="inlineStr"/>
      <c r="F72" s="78" t="inlineStr">
        <is>
          <t>게스트하우스 조식</t>
        </is>
      </c>
      <c r="G72" s="78" t="inlineStr"/>
    </row>
    <row r="73">
      <c r="A73" s="78" t="inlineStr">
        <is>
          <t>9/24</t>
        </is>
      </c>
      <c r="B73" s="78" t="inlineStr">
        <is>
          <t>목</t>
        </is>
      </c>
      <c r="C73" s="78" t="inlineStr"/>
      <c r="D73" s="78" t="inlineStr">
        <is>
          <t>08:30</t>
        </is>
      </c>
      <c r="E73" s="78" t="inlineStr">
        <is>
          <t>4WD 택시</t>
        </is>
      </c>
      <c r="F73" s="78" t="inlineStr">
        <is>
          <t>주타행 4WD 택시</t>
        </is>
      </c>
      <c r="G73" s="78" t="inlineStr">
        <is>
          <t>왕복 80라리 · 동행을 구하면 1인 40라리. 스노 계곡 25km, 편도 1시간</t>
        </is>
      </c>
    </row>
    <row r="74">
      <c r="A74" s="78" t="inlineStr">
        <is>
          <t>9/24</t>
        </is>
      </c>
      <c r="B74" s="78" t="inlineStr">
        <is>
          <t>목</t>
        </is>
      </c>
      <c r="C74" s="78" t="inlineStr"/>
      <c r="D74" s="78" t="inlineStr">
        <is>
          <t>09:30</t>
        </is>
      </c>
      <c r="E74" s="78" t="inlineStr"/>
      <c r="F74" s="78" t="inlineStr">
        <is>
          <t>주타 도착 · 트레킹 시작</t>
        </is>
      </c>
      <c r="G74" s="78" t="inlineStr">
        <is>
          <t>해발 2,200m에서 시작해 고도차가 크지 않습니다</t>
        </is>
      </c>
    </row>
    <row r="75">
      <c r="A75" s="78" t="inlineStr">
        <is>
          <t>9/24</t>
        </is>
      </c>
      <c r="B75" s="78" t="inlineStr">
        <is>
          <t>목</t>
        </is>
      </c>
      <c r="C75" s="78" t="inlineStr"/>
      <c r="D75" s="78" t="inlineStr">
        <is>
          <t>11:00</t>
        </is>
      </c>
      <c r="E75" s="78" t="inlineStr"/>
      <c r="F75" s="78" t="inlineStr">
        <is>
          <t>차우키 암벽 조망 지점</t>
        </is>
      </c>
      <c r="G75" s="78" t="inlineStr">
        <is>
          <t>왕복 8km · 3시간. 능선까지 더 오르지 않아도 암벽이 정면으로 보입니다</t>
        </is>
      </c>
    </row>
    <row r="76">
      <c r="A76" s="78" t="inlineStr">
        <is>
          <t>9/24</t>
        </is>
      </c>
      <c r="B76" s="78" t="inlineStr">
        <is>
          <t>목</t>
        </is>
      </c>
      <c r="C76" s="78" t="inlineStr"/>
      <c r="D76" s="78" t="inlineStr">
        <is>
          <t>12:30</t>
        </is>
      </c>
      <c r="E76" s="78" t="inlineStr"/>
      <c r="F76" s="78" t="inlineStr">
        <is>
          <t>하산 시작</t>
        </is>
      </c>
      <c r="G76" s="78" t="inlineStr"/>
    </row>
    <row r="77">
      <c r="A77" s="78" t="inlineStr">
        <is>
          <t>9/24</t>
        </is>
      </c>
      <c r="B77" s="78" t="inlineStr">
        <is>
          <t>목</t>
        </is>
      </c>
      <c r="C77" s="78" t="inlineStr"/>
      <c r="D77" s="78" t="inlineStr">
        <is>
          <t>14:00</t>
        </is>
      </c>
      <c r="E77" s="78" t="inlineStr"/>
      <c r="F77" s="78" t="inlineStr">
        <is>
          <t>주타 출발</t>
        </is>
      </c>
      <c r="G77" s="78" t="inlineStr"/>
    </row>
    <row r="78">
      <c r="A78" s="78" t="inlineStr">
        <is>
          <t>9/24</t>
        </is>
      </c>
      <c r="B78" s="78" t="inlineStr">
        <is>
          <t>목</t>
        </is>
      </c>
      <c r="C78" s="78" t="inlineStr"/>
      <c r="D78" s="78" t="inlineStr">
        <is>
          <t>15:00</t>
        </is>
      </c>
      <c r="E78" s="78" t="inlineStr"/>
      <c r="F78" s="78" t="inlineStr">
        <is>
          <t>스테판츠민다 복귀</t>
        </is>
      </c>
      <c r="G78" s="78" t="inlineStr"/>
    </row>
    <row r="79">
      <c r="A79" s="78" t="inlineStr">
        <is>
          <t>9/24</t>
        </is>
      </c>
      <c r="B79" s="78" t="inlineStr">
        <is>
          <t>목</t>
        </is>
      </c>
      <c r="C79" s="78" t="inlineStr"/>
      <c r="D79" s="78" t="inlineStr">
        <is>
          <t>16:00</t>
        </is>
      </c>
      <c r="E79" s="78" t="inlineStr"/>
      <c r="F79" s="78" t="inlineStr">
        <is>
          <t>게르게티 예비 시도 또는 휴식</t>
        </is>
      </c>
      <c r="G79" s="78" t="inlineStr">
        <is>
          <t>어제 봉우리를 봤으면 오늘은 쉬세요. 못 봤으면 4WD로 한 번 더 올라갑니다</t>
        </is>
      </c>
    </row>
    <row r="80">
      <c r="A80" s="78" t="inlineStr">
        <is>
          <t>9/24</t>
        </is>
      </c>
      <c r="B80" s="78" t="inlineStr">
        <is>
          <t>목</t>
        </is>
      </c>
      <c r="C80" s="78" t="inlineStr"/>
      <c r="D80" s="78" t="inlineStr">
        <is>
          <t>19:00</t>
        </is>
      </c>
      <c r="E80" s="78" t="inlineStr"/>
      <c r="F80" s="78" t="inlineStr">
        <is>
          <t>게스트하우스 저녁</t>
        </is>
      </c>
      <c r="G80" s="78" t="inlineStr"/>
    </row>
    <row r="81">
      <c r="A81" s="78" t="inlineStr">
        <is>
          <t>9/24</t>
        </is>
      </c>
      <c r="B81" s="78" t="inlineStr">
        <is>
          <t>목</t>
        </is>
      </c>
      <c r="C81" s="78" t="inlineStr"/>
      <c r="D81" s="78" t="inlineStr"/>
      <c r="E81" s="78" t="inlineStr">
        <is>
          <t>주의</t>
        </is>
      </c>
      <c r="F81" s="78" t="inlineStr">
        <is>
          <t>주타는 대중교통이 없습니다. 스노 계곡 안쪽 비포장길이라 4WD 택시가 유일한 수단이고, 1인 왕복 80라리는 조지아 구간 단일 최대 지출입니다. 전날 저녁 게스트하우스에서 같이 갈 사람을 구하면 40라리로 반이 됩니다 — 카즈베기 숙소는 대부분 이런 매칭을 해줍니다.</t>
        </is>
      </c>
      <c r="G81" s="78" t="inlineStr"/>
    </row>
    <row r="82">
      <c r="A82" s="78" t="inlineStr">
        <is>
          <t>9/24</t>
        </is>
      </c>
      <c r="B82" s="78" t="inlineStr">
        <is>
          <t>목</t>
        </is>
      </c>
      <c r="C82" s="78" t="inlineStr"/>
      <c r="D82" s="78" t="inlineStr"/>
      <c r="E82" s="78" t="inlineStr">
        <is>
          <t>주의</t>
        </is>
      </c>
      <c r="F82" s="78" t="inlineStr">
        <is>
          <t>오늘 오후가 게르게티 두 번째 기회입니다. 9월 말 카즈베기는 오전에 구름이 끼었다가 오후에 걷히는 날이 많습니다. 어제 흐렸다면 15시 이후 하늘을 보고 판단하세요. 오늘도 안 되면 내일 아침이 마지막 기회이고, 그때는 걸어 올라도 오후 버스를 탈 수 있습니다.</t>
        </is>
      </c>
      <c r="G82" s="78" t="inlineStr"/>
    </row>
    <row r="83">
      <c r="A83" s="78" t="inlineStr">
        <is>
          <t>9/24</t>
        </is>
      </c>
      <c r="B83" s="78" t="inlineStr">
        <is>
          <t>목</t>
        </is>
      </c>
      <c r="C83" s="78" t="inlineStr"/>
      <c r="D83" s="78" t="inlineStr"/>
      <c r="E83" s="78" t="inlineStr">
        <is>
          <t>주의</t>
        </is>
      </c>
      <c r="F83" s="78" t="inlineStr">
        <is>
          <t>주타 대신 그벨레티 폭포(다리알 협곡 방향 · 왕복 택시 50라리 + 도보 1시간)로 바꿔도 됩니다. 짧고 쉬워서 게르게티 재시도와 같은 날 묶기에는 이쪽이 편합니다.</t>
        </is>
      </c>
      <c r="G83" s="78" t="inlineStr"/>
    </row>
    <row r="84">
      <c r="A84" s="77" t="inlineStr">
        <is>
          <t>9/25</t>
        </is>
      </c>
      <c r="B84" s="77" t="inlineStr">
        <is>
          <t>금</t>
        </is>
      </c>
      <c r="C84" s="77" t="inlineStr">
        <is>
          <t>카즈베기 → 트빌리시 — 오전은 예비일</t>
        </is>
      </c>
      <c r="D84" s="77" t="inlineStr"/>
      <c r="E84" s="77" t="inlineStr"/>
      <c r="F84" s="77" t="inlineStr">
        <is>
          <t>아직 게르게티를 못 봤다면 오전이 마지막 기회입니다. 봤다면 마을에서 쉬다가 오후 편으로 내려옵니다.</t>
        </is>
      </c>
      <c r="G84" s="77" t="inlineStr"/>
    </row>
    <row r="85">
      <c r="A85" s="78" t="inlineStr">
        <is>
          <t>9/25</t>
        </is>
      </c>
      <c r="B85" s="78" t="inlineStr">
        <is>
          <t>금</t>
        </is>
      </c>
      <c r="C85" s="78" t="inlineStr"/>
      <c r="D85" s="78" t="inlineStr">
        <is>
          <t>08:00</t>
        </is>
      </c>
      <c r="E85" s="78" t="inlineStr"/>
      <c r="F85" s="78" t="inlineStr">
        <is>
          <t>조식 · 하늘 확인</t>
        </is>
      </c>
      <c r="G85" s="78" t="inlineStr"/>
    </row>
    <row r="86">
      <c r="A86" s="78" t="inlineStr">
        <is>
          <t>9/25</t>
        </is>
      </c>
      <c r="B86" s="78" t="inlineStr">
        <is>
          <t>금</t>
        </is>
      </c>
      <c r="C86" s="78" t="inlineStr"/>
      <c r="D86" s="78" t="inlineStr">
        <is>
          <t>09:00</t>
        </is>
      </c>
      <c r="E86" s="78" t="inlineStr"/>
      <c r="F86" s="78" t="inlineStr">
        <is>
          <t>게르게티 마지막 시도 또는 마을 뒷길 산책</t>
        </is>
      </c>
      <c r="G86" s="78" t="inlineStr">
        <is>
          <t>걸어 올라도 왕복 3시간이라 13:30 편에 여유 있게 맞습니다</t>
        </is>
      </c>
    </row>
    <row r="87">
      <c r="A87" s="78" t="inlineStr">
        <is>
          <t>9/25</t>
        </is>
      </c>
      <c r="B87" s="78" t="inlineStr">
        <is>
          <t>금</t>
        </is>
      </c>
      <c r="C87" s="78" t="inlineStr"/>
      <c r="D87" s="78" t="inlineStr">
        <is>
          <t>12:00</t>
        </is>
      </c>
      <c r="E87" s="78" t="inlineStr"/>
      <c r="F87" s="78" t="inlineStr">
        <is>
          <t>체크아웃 · 마을 점심</t>
        </is>
      </c>
      <c r="G87" s="78" t="inlineStr"/>
    </row>
    <row r="88">
      <c r="A88" s="78" t="inlineStr">
        <is>
          <t>9/25</t>
        </is>
      </c>
      <c r="B88" s="78" t="inlineStr">
        <is>
          <t>금</t>
        </is>
      </c>
      <c r="C88" s="78" t="inlineStr"/>
      <c r="D88" s="78" t="inlineStr">
        <is>
          <t>13:30</t>
        </is>
      </c>
      <c r="E88" s="78" t="inlineStr">
        <is>
          <t>마르슈르트카</t>
        </is>
      </c>
      <c r="F88" s="78" t="inlineStr">
        <is>
          <t>트빌리시행</t>
        </is>
      </c>
      <c r="G88" s="78" t="inlineStr">
        <is>
          <t>15라리 · 3~3.5시간 · 카즈베기 출발은 07·08·09·10·11·12·13:30·14·15:30·17·18시</t>
        </is>
      </c>
    </row>
    <row r="89">
      <c r="A89" s="78" t="inlineStr">
        <is>
          <t>9/25</t>
        </is>
      </c>
      <c r="B89" s="78" t="inlineStr">
        <is>
          <t>금</t>
        </is>
      </c>
      <c r="C89" s="78" t="inlineStr"/>
      <c r="D89" s="78" t="inlineStr">
        <is>
          <t>17:00</t>
        </is>
      </c>
      <c r="E89" s="78" t="inlineStr"/>
      <c r="F89" s="78" t="inlineStr">
        <is>
          <t>디두베 도착 · 지하철로 시내 · 체크인</t>
        </is>
      </c>
      <c r="G89" s="78" t="inlineStr"/>
    </row>
    <row r="90">
      <c r="A90" s="78" t="inlineStr">
        <is>
          <t>9/25</t>
        </is>
      </c>
      <c r="B90" s="78" t="inlineStr">
        <is>
          <t>금</t>
        </is>
      </c>
      <c r="C90" s="78" t="inlineStr"/>
      <c r="D90" s="78" t="inlineStr">
        <is>
          <t>18:00</t>
        </is>
      </c>
      <c r="E90" s="78" t="inlineStr"/>
      <c r="F90" s="78" t="inlineStr">
        <is>
          <t>루스타벨리 거리 산책</t>
        </is>
      </c>
      <c r="G90" s="78" t="inlineStr">
        <is>
          <t>오페라극장·의회 앞 가로수길. 트빌리시의 현대적인 쪽입니다</t>
        </is>
      </c>
    </row>
    <row r="91">
      <c r="A91" s="78" t="inlineStr">
        <is>
          <t>9/25</t>
        </is>
      </c>
      <c r="B91" s="78" t="inlineStr">
        <is>
          <t>금</t>
        </is>
      </c>
      <c r="C91" s="78" t="inlineStr"/>
      <c r="D91" s="78" t="inlineStr">
        <is>
          <t>19:30</t>
        </is>
      </c>
      <c r="E91" s="78" t="inlineStr"/>
      <c r="F91" s="78" t="inlineStr">
        <is>
          <t>저녁</t>
        </is>
      </c>
      <c r="G91" s="78" t="inlineStr"/>
    </row>
    <row r="92">
      <c r="A92" s="78" t="inlineStr">
        <is>
          <t>9/25</t>
        </is>
      </c>
      <c r="B92" s="78" t="inlineStr">
        <is>
          <t>금</t>
        </is>
      </c>
      <c r="C92" s="78" t="inlineStr"/>
      <c r="D92" s="78" t="inlineStr">
        <is>
          <t>21:00</t>
        </is>
      </c>
      <c r="E92" s="78" t="inlineStr"/>
      <c r="F92" s="78" t="inlineStr">
        <is>
          <t>내일 준비 — 삼고리행 지하철 첫 편 확인</t>
        </is>
      </c>
      <c r="G92" s="78" t="inlineStr">
        <is>
          <t>카헤티 방면은 디두베가 아니라 삼고리 터미널입니다</t>
        </is>
      </c>
    </row>
    <row r="93">
      <c r="A93" s="78" t="inlineStr">
        <is>
          <t>9/25</t>
        </is>
      </c>
      <c r="B93" s="78" t="inlineStr">
        <is>
          <t>금</t>
        </is>
      </c>
      <c r="C93" s="78" t="inlineStr"/>
      <c r="D93" s="78" t="inlineStr"/>
      <c r="E93" s="78" t="inlineStr">
        <is>
          <t>주의</t>
        </is>
      </c>
      <c r="F93" s="78" t="inlineStr">
        <is>
          <t>오전을 비워 둔 것이 이 날의 요점입니다. 게르게티를 이미 봤다면 늦잠을 자고 마을에서 쉬면 되고, 못 봤다면 걸어서라도 한 번 더 올라갈 수 있습니다. 어느 쪽이든 13:30 편에 맞출 수 있게 시간을 잡았습니다.</t>
        </is>
      </c>
      <c r="G93" s="78" t="inlineStr"/>
    </row>
    <row r="94">
      <c r="A94" s="78" t="inlineStr">
        <is>
          <t>9/25</t>
        </is>
      </c>
      <c r="B94" s="78" t="inlineStr">
        <is>
          <t>금</t>
        </is>
      </c>
      <c r="C94" s="78" t="inlineStr"/>
      <c r="D94" s="78" t="inlineStr"/>
      <c r="E94" s="78" t="inlineStr">
        <is>
          <t>주의</t>
        </is>
      </c>
      <c r="F94" s="78" t="inlineStr">
        <is>
          <t>이 날만 지도가 없습니다. 오전은 어제·그제 지도와 같은 범위이고 오후는 통째로 이동이라, 새로 그려도 같은 그림이 한 장 더 생길 뿐입니다.</t>
        </is>
      </c>
      <c r="G94" s="78" t="inlineStr"/>
    </row>
    <row r="95">
      <c r="A95" s="78" t="inlineStr">
        <is>
          <t>9/25</t>
        </is>
      </c>
      <c r="B95" s="78" t="inlineStr">
        <is>
          <t>금</t>
        </is>
      </c>
      <c r="C95" s="78" t="inlineStr"/>
      <c r="D95" s="78" t="inlineStr"/>
      <c r="E95" s="78" t="inlineStr">
        <is>
          <t>주의</t>
        </is>
      </c>
      <c r="F95" s="78" t="inlineStr">
        <is>
          <t>트빌리시 숙소는 9/25·9/26 이틀 연속으로 잡으세요. 내일 시그나기는 당일 왕복이라 짐을 옮기지 않습니다.</t>
        </is>
      </c>
      <c r="G95" s="78" t="inlineStr"/>
    </row>
    <row r="96">
      <c r="A96" s="77" t="inlineStr">
        <is>
          <t>9/26</t>
        </is>
      </c>
      <c r="B96" s="77" t="inlineStr">
        <is>
          <t>토</t>
        </is>
      </c>
      <c r="C96" s="77" t="inlineStr">
        <is>
          <t>시그나기 · 보드베 — 카헤티 와인 지역</t>
        </is>
      </c>
      <c r="D96" s="77" t="inlineStr"/>
      <c r="E96" s="77" t="inlineStr"/>
      <c r="F96" s="77" t="inlineStr">
        <is>
          <t>성벽으로 둘러싸인 언덕 마을에서 알라자니 계곡 너머 대캅카스를 봅니다. 수도원과 산으로만 이어지던 일정에 마을과 와인이 하나 들어갑니다.</t>
        </is>
      </c>
      <c r="G96" s="77" t="inlineStr"/>
    </row>
    <row r="97">
      <c r="A97" s="78" t="inlineStr">
        <is>
          <t>9/26</t>
        </is>
      </c>
      <c r="B97" s="78" t="inlineStr">
        <is>
          <t>토</t>
        </is>
      </c>
      <c r="C97" s="78" t="inlineStr"/>
      <c r="D97" s="78" t="inlineStr">
        <is>
          <t>08:30</t>
        </is>
      </c>
      <c r="E97" s="78" t="inlineStr"/>
      <c r="F97" s="78" t="inlineStr">
        <is>
          <t>지하철 삼고리역 → 삼고리 터미널</t>
        </is>
      </c>
      <c r="G97" s="78" t="inlineStr">
        <is>
          <t>디두베가 아닙니다. 카헤티 방면은 전부 삼고리에서 출발</t>
        </is>
      </c>
    </row>
    <row r="98">
      <c r="A98" s="78" t="inlineStr">
        <is>
          <t>9/26</t>
        </is>
      </c>
      <c r="B98" s="78" t="inlineStr">
        <is>
          <t>토</t>
        </is>
      </c>
      <c r="C98" s="78" t="inlineStr"/>
      <c r="D98" s="78" t="inlineStr">
        <is>
          <t>09:00</t>
        </is>
      </c>
      <c r="E98" s="78" t="inlineStr">
        <is>
          <t>마르슈르트카</t>
        </is>
      </c>
      <c r="F98" s="78" t="inlineStr">
        <is>
          <t>시그나기행</t>
        </is>
      </c>
      <c r="G98" s="78" t="inlineStr">
        <is>
          <t>10~15라리 · 2~2.5시간 · 자리가 차면 출발</t>
        </is>
      </c>
    </row>
    <row r="99">
      <c r="A99" s="78" t="inlineStr">
        <is>
          <t>9/26</t>
        </is>
      </c>
      <c r="B99" s="78" t="inlineStr">
        <is>
          <t>토</t>
        </is>
      </c>
      <c r="C99" s="78" t="inlineStr"/>
      <c r="D99" s="78" t="inlineStr">
        <is>
          <t>11:15</t>
        </is>
      </c>
      <c r="E99" s="78" t="inlineStr"/>
      <c r="F99" s="78" t="inlineStr">
        <is>
          <t>보드베 수도원에서 하차</t>
        </is>
      </c>
      <c r="G99" s="78" t="inlineStr">
        <is>
          <t>[무료] 기사에게 미리 「보드베」라고 말하면 세워줍니다. 성 니노의 무덤이 있는 곳</t>
        </is>
      </c>
    </row>
    <row r="100">
      <c r="A100" s="78" t="inlineStr">
        <is>
          <t>9/26</t>
        </is>
      </c>
      <c r="B100" s="78" t="inlineStr">
        <is>
          <t>토</t>
        </is>
      </c>
      <c r="C100" s="78" t="inlineStr"/>
      <c r="D100" s="78" t="inlineStr">
        <is>
          <t>12:15</t>
        </is>
      </c>
      <c r="E100" s="78" t="inlineStr"/>
      <c r="F100" s="78" t="inlineStr">
        <is>
          <t>사이프러스 가로수길 · 계곡 전망대</t>
        </is>
      </c>
      <c r="G100" s="78" t="inlineStr">
        <is>
          <t>수도원 뒤편에서 알라자니 계곡이 통째로 내려다보입니다</t>
        </is>
      </c>
    </row>
    <row r="101">
      <c r="A101" s="78" t="inlineStr">
        <is>
          <t>9/26</t>
        </is>
      </c>
      <c r="B101" s="78" t="inlineStr">
        <is>
          <t>토</t>
        </is>
      </c>
      <c r="C101" s="78" t="inlineStr"/>
      <c r="D101" s="78" t="inlineStr">
        <is>
          <t>12:45</t>
        </is>
      </c>
      <c r="E101" s="78" t="inlineStr"/>
      <c r="F101" s="78" t="inlineStr">
        <is>
          <t>시그나기까지 도보</t>
        </is>
      </c>
      <c r="G101" s="78" t="inlineStr">
        <is>
          <t>2km · 내리막 30분. 걸어도 부담 없습니다</t>
        </is>
      </c>
    </row>
    <row r="102">
      <c r="A102" s="78" t="inlineStr">
        <is>
          <t>9/26</t>
        </is>
      </c>
      <c r="B102" s="78" t="inlineStr">
        <is>
          <t>토</t>
        </is>
      </c>
      <c r="C102" s="78" t="inlineStr"/>
      <c r="D102" s="78" t="inlineStr">
        <is>
          <t>13:15</t>
        </is>
      </c>
      <c r="E102" s="78" t="inlineStr"/>
      <c r="F102" s="78" t="inlineStr">
        <is>
          <t>시그나기 점심</t>
        </is>
      </c>
      <c r="G102" s="78" t="inlineStr">
        <is>
          <t>카헤티 향토 음식. 이 지역이 조지아 와인의 본산입니다</t>
        </is>
      </c>
    </row>
    <row r="103">
      <c r="A103" s="78" t="inlineStr">
        <is>
          <t>9/26</t>
        </is>
      </c>
      <c r="B103" s="78" t="inlineStr">
        <is>
          <t>토</t>
        </is>
      </c>
      <c r="C103" s="78" t="inlineStr"/>
      <c r="D103" s="78" t="inlineStr">
        <is>
          <t>14:30</t>
        </is>
      </c>
      <c r="E103" s="78" t="inlineStr"/>
      <c r="F103" s="78" t="inlineStr">
        <is>
          <t>성벽길 산책</t>
        </is>
      </c>
      <c r="G103" s="78" t="inlineStr">
        <is>
          <t>[무료] 4km 성벽 중 일부를 걸어 오를 수 있고, 탑 위에서 마을과 설산이 함께 보입니다</t>
        </is>
      </c>
    </row>
    <row r="104">
      <c r="A104" s="78" t="inlineStr">
        <is>
          <t>9/26</t>
        </is>
      </c>
      <c r="B104" s="78" t="inlineStr">
        <is>
          <t>토</t>
        </is>
      </c>
      <c r="C104" s="78" t="inlineStr"/>
      <c r="D104" s="78" t="inlineStr">
        <is>
          <t>15:30</t>
        </is>
      </c>
      <c r="E104" s="78" t="inlineStr"/>
      <c r="F104" s="78" t="inlineStr">
        <is>
          <t>와이너리 시음</t>
        </is>
      </c>
      <c r="G104" s="78" t="inlineStr">
        <is>
          <t>선택 · 10~25라리. 크베브리(항아리) 발효 오렌지와인을 청해보세요</t>
        </is>
      </c>
    </row>
    <row r="105">
      <c r="A105" s="78" t="inlineStr">
        <is>
          <t>9/26</t>
        </is>
      </c>
      <c r="B105" s="78" t="inlineStr">
        <is>
          <t>토</t>
        </is>
      </c>
      <c r="C105" s="78" t="inlineStr"/>
      <c r="D105" s="78" t="inlineStr">
        <is>
          <t>16:30</t>
        </is>
      </c>
      <c r="E105" s="78" t="inlineStr">
        <is>
          <t>마르슈르트카</t>
        </is>
      </c>
      <c r="F105" s="78" t="inlineStr">
        <is>
          <t>트빌리시 복귀</t>
        </is>
      </c>
      <c r="G105" s="78" t="inlineStr">
        <is>
          <t>막차가 이르니 도착 직후 돌아가는 시각을 확인해두세요 (대개 18~19시)</t>
        </is>
      </c>
    </row>
    <row r="106">
      <c r="A106" s="78" t="inlineStr">
        <is>
          <t>9/26</t>
        </is>
      </c>
      <c r="B106" s="78" t="inlineStr">
        <is>
          <t>토</t>
        </is>
      </c>
      <c r="C106" s="78" t="inlineStr"/>
      <c r="D106" s="78" t="inlineStr">
        <is>
          <t>19:00</t>
        </is>
      </c>
      <c r="E106" s="78" t="inlineStr"/>
      <c r="F106" s="78" t="inlineStr">
        <is>
          <t>트빌리시 도착 · 저녁 — 조지아 마지막 밤</t>
        </is>
      </c>
      <c r="G106" s="78" t="inlineStr"/>
    </row>
    <row r="107">
      <c r="A107" s="78" t="inlineStr">
        <is>
          <t>9/26</t>
        </is>
      </c>
      <c r="B107" s="78" t="inlineStr">
        <is>
          <t>토</t>
        </is>
      </c>
      <c r="C107" s="78" t="inlineStr"/>
      <c r="D107" s="78" t="inlineStr">
        <is>
          <t>21:00</t>
        </is>
      </c>
      <c r="E107" s="78" t="inlineStr"/>
      <c r="F107" s="78" t="inlineStr">
        <is>
          <t>짐 싸기 · 내일 07:30 출발 준비</t>
        </is>
      </c>
      <c r="G107" s="78" t="inlineStr">
        <is>
          <t>합승택시 08:20 편을 타려면 아침이 촉박합니다</t>
        </is>
      </c>
    </row>
    <row r="108">
      <c r="A108" s="78" t="inlineStr">
        <is>
          <t>9/26</t>
        </is>
      </c>
      <c r="B108" s="78" t="inlineStr">
        <is>
          <t>토</t>
        </is>
      </c>
      <c r="C108" s="78" t="inlineStr"/>
      <c r="D108" s="78" t="inlineStr"/>
      <c r="E108" s="78" t="inlineStr">
        <is>
          <t>주의</t>
        </is>
      </c>
      <c r="F108" s="78" t="inlineStr">
        <is>
          <t>수도원 일색인 일정에서 성격이 다른 하루입니다. 시그나기는 18세기 성벽이 남은 언덕 마을이고, 알라자니 계곡 건너로 대캅카스 주능선이 보입니다. 택시가 전혀 필요 없고 입장료도 없어서 하루 전체가 교통비 20~30라리로 끝납니다.</t>
        </is>
      </c>
      <c r="G108" s="78" t="inlineStr"/>
    </row>
    <row r="109">
      <c r="A109" s="78" t="inlineStr">
        <is>
          <t>9/26</t>
        </is>
      </c>
      <c r="B109" s="78" t="inlineStr">
        <is>
          <t>토</t>
        </is>
      </c>
      <c r="C109" s="78" t="inlineStr"/>
      <c r="D109" s="78" t="inlineStr"/>
      <c r="E109" s="78" t="inlineStr">
        <is>
          <t>주의</t>
        </is>
      </c>
      <c r="F109" s="78" t="inlineStr">
        <is>
          <t>토요일에 넣은 데는 이유가 있습니다. 와이너리와 마을 식당이 주말에 다 열고 삼고리 발 편수도 많습니다. 대신 사람이 가장 많은 요일이라, 성벽길은 점심 직후보다 늦은 오후가 한산합니다.</t>
        </is>
      </c>
      <c r="G109" s="78" t="inlineStr"/>
    </row>
    <row r="110">
      <c r="A110" s="78" t="inlineStr">
        <is>
          <t>9/26</t>
        </is>
      </c>
      <c r="B110" s="78" t="inlineStr">
        <is>
          <t>토</t>
        </is>
      </c>
      <c r="C110" s="78" t="inlineStr"/>
      <c r="D110" s="78" t="inlineStr"/>
      <c r="E110" s="78" t="inlineStr">
        <is>
          <t>주의</t>
        </is>
      </c>
      <c r="F110" s="78" t="inlineStr">
        <is>
          <t>돌아오는 편 시각을 도착하자마자 확인하세요. 카헤티 방면 마르슈르트카는 저녁이 이릅니다. 놓치면 텔라비 경유로 돌아오거나 택시를 잡아야 하는데 둘 다 비쌉니다. 16:30 편을 목표로 하되 늦어도 18시 전에는 타세요.</t>
        </is>
      </c>
      <c r="G110" s="78" t="inlineStr"/>
    </row>
    <row r="111">
      <c r="A111" s="77" t="inlineStr">
        <is>
          <t>9/27</t>
        </is>
      </c>
      <c r="B111" s="77" t="inlineStr">
        <is>
          <t>일</t>
        </is>
      </c>
      <c r="C111" s="77" t="inlineStr">
        <is>
          <t>국경 → 알라베르디 — 수도원 두 곳</t>
        </is>
      </c>
      <c r="D111" s="77" t="inlineStr"/>
      <c r="E111" s="77" t="inlineStr"/>
      <c r="F111" s="77" t="inlineStr">
        <is>
          <t>오전 정시편으로 국경을 넘고, 사나힌과 하흐파트를 같은 날 본다.</t>
        </is>
      </c>
      <c r="G111" s="77" t="inlineStr"/>
    </row>
    <row r="112">
      <c r="A112" s="78" t="inlineStr">
        <is>
          <t>9/27</t>
        </is>
      </c>
      <c r="B112" s="78" t="inlineStr">
        <is>
          <t>일</t>
        </is>
      </c>
      <c r="C112" s="78" t="inlineStr"/>
      <c r="D112" s="78" t="inlineStr">
        <is>
          <t>07:30</t>
        </is>
      </c>
      <c r="E112" s="78" t="inlineStr"/>
      <c r="F112" s="78" t="inlineStr">
        <is>
          <t>체크아웃 · 지하철로 오르타찰라 터미널</t>
        </is>
      </c>
      <c r="G112" s="78" t="inlineStr"/>
    </row>
    <row r="113">
      <c r="A113" s="78" t="inlineStr">
        <is>
          <t>9/27</t>
        </is>
      </c>
      <c r="B113" s="78" t="inlineStr">
        <is>
          <t>일</t>
        </is>
      </c>
      <c r="C113" s="78" t="inlineStr"/>
      <c r="D113" s="78" t="inlineStr">
        <is>
          <t>08:20</t>
        </is>
      </c>
      <c r="E113" s="78" t="inlineStr">
        <is>
          <t>합승택시</t>
        </is>
      </c>
      <c r="F113" s="78" t="inlineStr">
        <is>
          <t>예레반행 — 알라베르디 하차 요청</t>
        </is>
      </c>
      <c r="G113" s="78" t="inlineStr">
        <is>
          <t>35~40라리 · 사다클로 국경 경유 · 정시 출발이라 대기가 없습니다</t>
        </is>
      </c>
    </row>
    <row r="114">
      <c r="A114" s="78" t="inlineStr">
        <is>
          <t>9/27</t>
        </is>
      </c>
      <c r="B114" s="78" t="inlineStr">
        <is>
          <t>일</t>
        </is>
      </c>
      <c r="C114" s="78" t="inlineStr"/>
      <c r="D114" s="78" t="inlineStr">
        <is>
          <t>10:30</t>
        </is>
      </c>
      <c r="E114" s="78" t="inlineStr"/>
      <c r="F114" s="78" t="inlineStr">
        <is>
          <t>사다클로 국경</t>
        </is>
      </c>
      <c r="G114" s="78" t="inlineStr">
        <is>
          <t>차에서 내려 걸어서 통과. 한국 여권은 아르메니아 180일 무비자</t>
        </is>
      </c>
    </row>
    <row r="115">
      <c r="A115" s="78" t="inlineStr">
        <is>
          <t>9/27</t>
        </is>
      </c>
      <c r="B115" s="78" t="inlineStr">
        <is>
          <t>일</t>
        </is>
      </c>
      <c r="C115" s="78" t="inlineStr"/>
      <c r="D115" s="78" t="inlineStr">
        <is>
          <t>12:00</t>
        </is>
      </c>
      <c r="E115" s="78" t="inlineStr"/>
      <c r="F115" s="78" t="inlineStr">
        <is>
          <t>알라베르디 도착 · 드람 환전 · 체크인</t>
        </is>
      </c>
      <c r="G115" s="78" t="inlineStr"/>
    </row>
    <row r="116">
      <c r="A116" s="78" t="inlineStr">
        <is>
          <t>9/27</t>
        </is>
      </c>
      <c r="B116" s="78" t="inlineStr">
        <is>
          <t>일</t>
        </is>
      </c>
      <c r="C116" s="78" t="inlineStr"/>
      <c r="D116" s="78" t="inlineStr">
        <is>
          <t>13:00</t>
        </is>
      </c>
      <c r="E116" s="78" t="inlineStr">
        <is>
          <t>마르슈르트카</t>
        </is>
      </c>
      <c r="F116" s="78" t="inlineStr">
        <is>
          <t>하흐파트행 — 일요일 13시 편</t>
        </is>
      </c>
      <c r="G116" s="78" t="inlineStr">
        <is>
          <t>200드람 · 20분 · 주말은 9시·13시·17시 3편뿐</t>
        </is>
      </c>
    </row>
    <row r="117">
      <c r="A117" s="78" t="inlineStr">
        <is>
          <t>9/27</t>
        </is>
      </c>
      <c r="B117" s="78" t="inlineStr">
        <is>
          <t>일</t>
        </is>
      </c>
      <c r="C117" s="78" t="inlineStr"/>
      <c r="D117" s="78" t="inlineStr">
        <is>
          <t>13:30</t>
        </is>
      </c>
      <c r="E117" s="78" t="inlineStr"/>
      <c r="F117" s="78" t="inlineStr">
        <is>
          <t>하흐파트 수도원</t>
        </is>
      </c>
      <c r="G117" s="78" t="inlineStr">
        <is>
          <t>[무료] 10세기 · 유네스코. 데베드 협곡 위 고원에 있습니다</t>
        </is>
      </c>
    </row>
    <row r="118">
      <c r="A118" s="78" t="inlineStr">
        <is>
          <t>9/27</t>
        </is>
      </c>
      <c r="B118" s="78" t="inlineStr">
        <is>
          <t>일</t>
        </is>
      </c>
      <c r="C118" s="78" t="inlineStr"/>
      <c r="D118" s="78" t="inlineStr">
        <is>
          <t>15:00</t>
        </is>
      </c>
      <c r="E118" s="78" t="inlineStr"/>
      <c r="F118" s="78" t="inlineStr">
        <is>
          <t>알라베르디 복귀</t>
        </is>
      </c>
      <c r="G118" s="78" t="inlineStr"/>
    </row>
    <row r="119">
      <c r="A119" s="78" t="inlineStr">
        <is>
          <t>9/27</t>
        </is>
      </c>
      <c r="B119" s="78" t="inlineStr">
        <is>
          <t>일</t>
        </is>
      </c>
      <c r="C119" s="78" t="inlineStr"/>
      <c r="D119" s="78" t="inlineStr">
        <is>
          <t>16:00</t>
        </is>
      </c>
      <c r="E119" s="78" t="inlineStr">
        <is>
          <t>3번 버스</t>
        </is>
      </c>
      <c r="F119" s="78" t="inlineStr">
        <is>
          <t>3번 버스로 사나힌</t>
        </is>
      </c>
      <c r="G119" s="78" t="inlineStr">
        <is>
          <t>왕복 400드람 · 협곡 반대편 언덕</t>
        </is>
      </c>
    </row>
    <row r="120">
      <c r="A120" s="78" t="inlineStr">
        <is>
          <t>9/27</t>
        </is>
      </c>
      <c r="B120" s="78" t="inlineStr">
        <is>
          <t>일</t>
        </is>
      </c>
      <c r="C120" s="78" t="inlineStr"/>
      <c r="D120" s="78" t="inlineStr">
        <is>
          <t>16:30</t>
        </is>
      </c>
      <c r="E120" s="78" t="inlineStr"/>
      <c r="F120" s="78" t="inlineStr">
        <is>
          <t>사나힌 수도원</t>
        </is>
      </c>
      <c r="G120" s="78" t="inlineStr">
        <is>
          <t>[무료] 하흐파트와 같은 시기, 같은 유네스코 등재. 「사나힌」은 「이쪽이 더 오래됐다」는 뜻</t>
        </is>
      </c>
    </row>
    <row r="121">
      <c r="A121" s="78" t="inlineStr">
        <is>
          <t>9/27</t>
        </is>
      </c>
      <c r="B121" s="78" t="inlineStr">
        <is>
          <t>일</t>
        </is>
      </c>
      <c r="C121" s="78" t="inlineStr"/>
      <c r="D121" s="78" t="inlineStr">
        <is>
          <t>18:00</t>
        </is>
      </c>
      <c r="E121" s="78" t="inlineStr"/>
      <c r="F121" s="78" t="inlineStr">
        <is>
          <t>알라베르디 복귀</t>
        </is>
      </c>
      <c r="G121" s="78" t="inlineStr"/>
    </row>
    <row r="122">
      <c r="A122" s="78" t="inlineStr">
        <is>
          <t>9/27</t>
        </is>
      </c>
      <c r="B122" s="78" t="inlineStr">
        <is>
          <t>일</t>
        </is>
      </c>
      <c r="C122" s="78" t="inlineStr"/>
      <c r="D122" s="78" t="inlineStr">
        <is>
          <t>19:00</t>
        </is>
      </c>
      <c r="E122" s="78" t="inlineStr"/>
      <c r="F122" s="78" t="inlineStr">
        <is>
          <t>게스트하우스 저녁</t>
        </is>
      </c>
      <c r="G122" s="78" t="inlineStr">
        <is>
          <t>이 지역은 외식할 곳이 거의 없어 숙소 가정식이 사실상 유일한 선택입니다</t>
        </is>
      </c>
    </row>
    <row r="123">
      <c r="A123" s="78" t="inlineStr">
        <is>
          <t>9/27</t>
        </is>
      </c>
      <c r="B123" s="78" t="inlineStr">
        <is>
          <t>일</t>
        </is>
      </c>
      <c r="C123" s="78" t="inlineStr"/>
      <c r="D123" s="78" t="inlineStr"/>
      <c r="E123" s="78" t="inlineStr">
        <is>
          <t>주의</t>
        </is>
      </c>
      <c r="F123" s="78" t="inlineStr">
        <is>
          <t>오후에 버스를 네 번 타는 일정이라 한 번만 어긋나도 무너집니다. 일요일이라 편수가 적고 막차도 이릅니다. 알라베르디 도착 직후 택시로 하흐파트·사나힌을 한 번에 도는 코스를 흥정해보세요. 대기 포함 6,000드람 안팎이면 오후가 통째로 편해지고, 어두워지기 전에 두 곳을 다 봅니다.</t>
        </is>
      </c>
      <c r="G123" s="78" t="inlineStr"/>
    </row>
    <row r="124">
      <c r="A124" s="78" t="inlineStr">
        <is>
          <t>9/27</t>
        </is>
      </c>
      <c r="B124" s="78" t="inlineStr">
        <is>
          <t>일</t>
        </is>
      </c>
      <c r="C124" s="78" t="inlineStr"/>
      <c r="D124" s="78" t="inlineStr"/>
      <c r="E124" s="78" t="inlineStr">
        <is>
          <t>주의</t>
        </is>
      </c>
      <c r="F124" s="78" t="inlineStr">
        <is>
          <t>하흐파트를 13시 편에 맞춘 것은 주말 편수 때문입니다. 9시 편을 놓치면 오후까지 기다려야 하는데, 13시로 잡으면 17시 편이 예비로 하나 더 남습니다.</t>
        </is>
      </c>
      <c r="G124" s="78" t="inlineStr"/>
    </row>
    <row r="125">
      <c r="A125" s="77" t="inlineStr">
        <is>
          <t>9/28</t>
        </is>
      </c>
      <c r="B125" s="77" t="inlineStr">
        <is>
          <t>월</t>
        </is>
      </c>
      <c r="C125" s="77" t="inlineStr">
        <is>
          <t>알라베르디 → 딜리잔 — 소나무 숲의 산간 마을</t>
        </is>
      </c>
      <c r="D125" s="77" t="inlineStr"/>
      <c r="E125" s="77" t="inlineStr"/>
      <c r="F125" s="77" t="inlineStr">
        <is>
          <t>데베드 협곡을 빠져나와 해발 1,500m 삼림지대로. 월요일이라 실내는 어차피 다 닫히니 야외 수도원과 옛 거리로 채웁니다.</t>
        </is>
      </c>
      <c r="G125" s="77" t="inlineStr"/>
    </row>
    <row r="126">
      <c r="A126" s="78" t="inlineStr">
        <is>
          <t>9/28</t>
        </is>
      </c>
      <c r="B126" s="78" t="inlineStr">
        <is>
          <t>월</t>
        </is>
      </c>
      <c r="C126" s="78" t="inlineStr"/>
      <c r="D126" s="78" t="inlineStr">
        <is>
          <t>08:00</t>
        </is>
      </c>
      <c r="E126" s="78" t="inlineStr"/>
      <c r="F126" s="78" t="inlineStr">
        <is>
          <t>조식 · 체크아웃</t>
        </is>
      </c>
      <c r="G126" s="78" t="inlineStr"/>
    </row>
    <row r="127">
      <c r="A127" s="78" t="inlineStr">
        <is>
          <t>9/28</t>
        </is>
      </c>
      <c r="B127" s="78" t="inlineStr">
        <is>
          <t>월</t>
        </is>
      </c>
      <c r="C127" s="78" t="inlineStr"/>
      <c r="D127" s="78" t="inlineStr">
        <is>
          <t>09:00</t>
        </is>
      </c>
      <c r="E127" s="78" t="inlineStr">
        <is>
          <t>마르슈르트카</t>
        </is>
      </c>
      <c r="F127" s="78" t="inlineStr">
        <is>
          <t>바나조르행</t>
        </is>
      </c>
      <c r="G127" s="78" t="inlineStr">
        <is>
          <t>500드람 · 1시간 · 09:00·10:30·11:00·13:00 네 편</t>
        </is>
      </c>
    </row>
    <row r="128">
      <c r="A128" s="78" t="inlineStr">
        <is>
          <t>9/28</t>
        </is>
      </c>
      <c r="B128" s="78" t="inlineStr">
        <is>
          <t>월</t>
        </is>
      </c>
      <c r="C128" s="78" t="inlineStr"/>
      <c r="D128" s="78" t="inlineStr">
        <is>
          <t>10:00</t>
        </is>
      </c>
      <c r="E128" s="78" t="inlineStr"/>
      <c r="F128" s="78" t="inlineStr">
        <is>
          <t>바나조르 도착 · 딜리잔행으로 환승</t>
        </is>
      </c>
      <c r="G128" s="78" t="inlineStr">
        <is>
          <t>내리자마자 딜리잔행 시각부터 확인하세요</t>
        </is>
      </c>
    </row>
    <row r="129">
      <c r="A129" s="78" t="inlineStr">
        <is>
          <t>9/28</t>
        </is>
      </c>
      <c r="B129" s="78" t="inlineStr">
        <is>
          <t>월</t>
        </is>
      </c>
      <c r="C129" s="78" t="inlineStr"/>
      <c r="D129" s="78" t="inlineStr">
        <is>
          <t>11:00</t>
        </is>
      </c>
      <c r="E129" s="78" t="inlineStr">
        <is>
          <t>마르슈르트카</t>
        </is>
      </c>
      <c r="F129" s="78" t="inlineStr">
        <is>
          <t>딜리잔행</t>
        </is>
      </c>
      <c r="G129" s="78" t="inlineStr">
        <is>
          <t>600~800드람 · 40~50분 · 요금은 현지 확인 필요</t>
        </is>
      </c>
    </row>
    <row r="130">
      <c r="A130" s="78" t="inlineStr">
        <is>
          <t>9/28</t>
        </is>
      </c>
      <c r="B130" s="78" t="inlineStr">
        <is>
          <t>월</t>
        </is>
      </c>
      <c r="C130" s="78" t="inlineStr"/>
      <c r="D130" s="78" t="inlineStr">
        <is>
          <t>12:00</t>
        </is>
      </c>
      <c r="E130" s="78" t="inlineStr"/>
      <c r="F130" s="78" t="inlineStr">
        <is>
          <t>딜리잔 도착 · 체크인 · 점심</t>
        </is>
      </c>
      <c r="G130" s="78" t="inlineStr"/>
    </row>
    <row r="131">
      <c r="A131" s="78" t="inlineStr">
        <is>
          <t>9/28</t>
        </is>
      </c>
      <c r="B131" s="78" t="inlineStr">
        <is>
          <t>월</t>
        </is>
      </c>
      <c r="C131" s="78" t="inlineStr"/>
      <c r="D131" s="78" t="inlineStr">
        <is>
          <t>14:00</t>
        </is>
      </c>
      <c r="E131" s="78" t="inlineStr">
        <is>
          <t>택시</t>
        </is>
      </c>
      <c r="F131" s="78" t="inlineStr">
        <is>
          <t>하가르친 수도원 왕복</t>
        </is>
      </c>
      <c r="G131" s="78" t="inlineStr">
        <is>
          <t>대기 포함 6,000드람으로 흥정. 시내에서 숲길 안쪽 8km</t>
        </is>
      </c>
    </row>
    <row r="132">
      <c r="A132" s="78" t="inlineStr">
        <is>
          <t>9/28</t>
        </is>
      </c>
      <c r="B132" s="78" t="inlineStr">
        <is>
          <t>월</t>
        </is>
      </c>
      <c r="C132" s="78" t="inlineStr"/>
      <c r="D132" s="78" t="inlineStr">
        <is>
          <t>14:30</t>
        </is>
      </c>
      <c r="E132" s="78" t="inlineStr"/>
      <c r="F132" s="78" t="inlineStr">
        <is>
          <t>하가르친 수도원</t>
        </is>
      </c>
      <c r="G132" s="78" t="inlineStr">
        <is>
          <t>[무료] 11~13세기. 숲에 둘러싸여 있어 이번 여행의 수도원 중 가장 초록이 많습니다</t>
        </is>
      </c>
    </row>
    <row r="133">
      <c r="A133" s="78" t="inlineStr">
        <is>
          <t>9/28</t>
        </is>
      </c>
      <c r="B133" s="78" t="inlineStr">
        <is>
          <t>월</t>
        </is>
      </c>
      <c r="C133" s="78" t="inlineStr"/>
      <c r="D133" s="78" t="inlineStr">
        <is>
          <t>16:00</t>
        </is>
      </c>
      <c r="E133" s="78" t="inlineStr"/>
      <c r="F133" s="78" t="inlineStr">
        <is>
          <t>딜리잔 복귀</t>
        </is>
      </c>
      <c r="G133" s="78" t="inlineStr"/>
    </row>
    <row r="134">
      <c r="A134" s="78" t="inlineStr">
        <is>
          <t>9/28</t>
        </is>
      </c>
      <c r="B134" s="78" t="inlineStr">
        <is>
          <t>월</t>
        </is>
      </c>
      <c r="C134" s="78" t="inlineStr"/>
      <c r="D134" s="78" t="inlineStr">
        <is>
          <t>16:30</t>
        </is>
      </c>
      <c r="E134" s="78" t="inlineStr"/>
      <c r="F134" s="78" t="inlineStr">
        <is>
          <t>샤람베얀 거리</t>
        </is>
      </c>
      <c r="G134" s="78" t="inlineStr">
        <is>
          <t>[무료] 복원된 19세기 목조 발코니 거리. 200m 남짓이라 30분이면 충분합니다</t>
        </is>
      </c>
    </row>
    <row r="135">
      <c r="A135" s="78" t="inlineStr">
        <is>
          <t>9/28</t>
        </is>
      </c>
      <c r="B135" s="78" t="inlineStr">
        <is>
          <t>월</t>
        </is>
      </c>
      <c r="C135" s="78" t="inlineStr"/>
      <c r="D135" s="78" t="inlineStr">
        <is>
          <t>18:00</t>
        </is>
      </c>
      <c r="E135" s="78" t="inlineStr"/>
      <c r="F135" s="78" t="inlineStr">
        <is>
          <t>숲길 산책 또는 휴식</t>
        </is>
      </c>
      <c r="G135" s="78" t="inlineStr"/>
    </row>
    <row r="136">
      <c r="A136" s="78" t="inlineStr">
        <is>
          <t>9/28</t>
        </is>
      </c>
      <c r="B136" s="78" t="inlineStr">
        <is>
          <t>월</t>
        </is>
      </c>
      <c r="C136" s="78" t="inlineStr"/>
      <c r="D136" s="78" t="inlineStr">
        <is>
          <t>19:00</t>
        </is>
      </c>
      <c r="E136" s="78" t="inlineStr"/>
      <c r="F136" s="78" t="inlineStr">
        <is>
          <t>저녁</t>
        </is>
      </c>
      <c r="G136" s="78" t="inlineStr"/>
    </row>
    <row r="137">
      <c r="A137" s="78" t="inlineStr">
        <is>
          <t>9/28</t>
        </is>
      </c>
      <c r="B137" s="78" t="inlineStr">
        <is>
          <t>월</t>
        </is>
      </c>
      <c r="C137" s="78" t="inlineStr"/>
      <c r="D137" s="78" t="inlineStr"/>
      <c r="E137" s="78" t="inlineStr">
        <is>
          <t>주의</t>
        </is>
      </c>
      <c r="F137" s="78" t="inlineStr">
        <is>
          <t>귬리 대신 딜리잔·세반을 넣었습니다. 알라베르디에서 예레반으로 곧장 내려가면 바나조르 이후가 통째로 고속도로입니다. 딜리잔과 세반을 거치면 이동 시간은 비슷한데 산림지대와 호수를 하나씩 더 보게 됩니다 — 이 여행에서 수도원도 도시도 아닌 풍경은 카즈베기와 여기뿐입니다.</t>
        </is>
      </c>
      <c r="G137" s="78" t="inlineStr"/>
    </row>
    <row r="138">
      <c r="A138" s="78" t="inlineStr">
        <is>
          <t>9/28</t>
        </is>
      </c>
      <c r="B138" s="78" t="inlineStr">
        <is>
          <t>월</t>
        </is>
      </c>
      <c r="C138" s="78" t="inlineStr"/>
      <c r="D138" s="78" t="inlineStr"/>
      <c r="E138" s="78" t="inlineStr">
        <is>
          <t>주의</t>
        </is>
      </c>
      <c r="F138" s="78" t="inlineStr">
        <is>
          <t>하가르친은 대중교통이 없습니다. 시내에서 숲길 안쪽 8km라 택시 왕복이 유일합니다. 걸어가겠다는 계획은 세우지 마세요 — 왕복 4시간에 그늘 없는 차도입니다.</t>
        </is>
      </c>
      <c r="G138" s="78" t="inlineStr"/>
    </row>
    <row r="139">
      <c r="A139" s="78" t="inlineStr">
        <is>
          <t>9/28</t>
        </is>
      </c>
      <c r="B139" s="78" t="inlineStr">
        <is>
          <t>월</t>
        </is>
      </c>
      <c r="C139" s="78" t="inlineStr"/>
      <c r="D139" s="78" t="inlineStr"/>
      <c r="E139" s="78" t="inlineStr">
        <is>
          <t>주의</t>
        </is>
      </c>
      <c r="F139" s="78" t="inlineStr">
        <is>
          <t>바나조르→딜리잔 요금·편수는 현지 확인이 필요합니다. 노선이 있는 것은 확실하지만 시간표를 확정된 형태로 찾지 못했습니다. 09:00 편으로 바나조르에 10시에 닿으면 오후까지 여유가 있으니, 최악의 경우 택시(6,000~8,000드람)로 넘어가도 일정이 무너지지 않습니다.</t>
        </is>
      </c>
      <c r="G139" s="78" t="inlineStr"/>
    </row>
    <row r="140">
      <c r="A140" s="78" t="inlineStr">
        <is>
          <t>9/28</t>
        </is>
      </c>
      <c r="B140" s="78" t="inlineStr">
        <is>
          <t>월</t>
        </is>
      </c>
      <c r="C140" s="78" t="inlineStr"/>
      <c r="D140" s="78" t="inlineStr"/>
      <c r="E140" s="78" t="inlineStr">
        <is>
          <t>주의</t>
        </is>
      </c>
      <c r="F140" s="78" t="inlineStr">
        <is>
          <t>월요일이라 딜리잔 지역박물관은 닫습니다. 오늘 일정은 전부 야외라 영향이 없습니다 — 이동일을 월요일에 맞춘 것도 그래서입니다.</t>
        </is>
      </c>
      <c r="G140" s="78" t="inlineStr"/>
    </row>
    <row r="141">
      <c r="A141" s="77" t="inlineStr">
        <is>
          <t>9/29</t>
        </is>
      </c>
      <c r="B141" s="77" t="inlineStr">
        <is>
          <t>화</t>
        </is>
      </c>
      <c r="C141" s="77" t="inlineStr">
        <is>
          <t>세반 호수 → 예레반 — 여기서부터 4박 붙박이</t>
        </is>
      </c>
      <c r="D141" s="77" t="inlineStr"/>
      <c r="E141" s="77" t="inlineStr"/>
      <c r="F141" s="77" t="inlineStr">
        <is>
          <t>해발 1,900m 호수의 반도 끝에 선 수도원을 보고, 그대로 예레반으로 내려갑니다.</t>
        </is>
      </c>
      <c r="G141" s="77" t="inlineStr"/>
    </row>
    <row r="142">
      <c r="A142" s="78" t="inlineStr">
        <is>
          <t>9/29</t>
        </is>
      </c>
      <c r="B142" s="78" t="inlineStr">
        <is>
          <t>화</t>
        </is>
      </c>
      <c r="C142" s="78" t="inlineStr"/>
      <c r="D142" s="78" t="inlineStr">
        <is>
          <t>08:30</t>
        </is>
      </c>
      <c r="E142" s="78" t="inlineStr"/>
      <c r="F142" s="78" t="inlineStr">
        <is>
          <t>조식 · 체크아웃</t>
        </is>
      </c>
      <c r="G142" s="78" t="inlineStr"/>
    </row>
    <row r="143">
      <c r="A143" s="78" t="inlineStr">
        <is>
          <t>9/29</t>
        </is>
      </c>
      <c r="B143" s="78" t="inlineStr">
        <is>
          <t>화</t>
        </is>
      </c>
      <c r="C143" s="78" t="inlineStr"/>
      <c r="D143" s="78" t="inlineStr">
        <is>
          <t>09:30</t>
        </is>
      </c>
      <c r="E143" s="78" t="inlineStr">
        <is>
          <t>마르슈르트카</t>
        </is>
      </c>
      <c r="F143" s="78" t="inlineStr">
        <is>
          <t>세반행</t>
        </is>
      </c>
      <c r="G143" s="78" t="inlineStr">
        <is>
          <t>700~1,000드람 · 1시간 · 딜리잔 터널을 지납니다</t>
        </is>
      </c>
    </row>
    <row r="144">
      <c r="A144" s="78" t="inlineStr">
        <is>
          <t>9/29</t>
        </is>
      </c>
      <c r="B144" s="78" t="inlineStr">
        <is>
          <t>화</t>
        </is>
      </c>
      <c r="C144" s="78" t="inlineStr"/>
      <c r="D144" s="78" t="inlineStr">
        <is>
          <t>10:30</t>
        </is>
      </c>
      <c r="E144" s="78" t="inlineStr"/>
      <c r="F144" s="78" t="inlineStr">
        <is>
          <t>세반 도착 · 터미널에 짐 맡기기</t>
        </is>
      </c>
      <c r="G144" s="78" t="inlineStr"/>
    </row>
    <row r="145">
      <c r="A145" s="78" t="inlineStr">
        <is>
          <t>9/29</t>
        </is>
      </c>
      <c r="B145" s="78" t="inlineStr">
        <is>
          <t>화</t>
        </is>
      </c>
      <c r="C145" s="78" t="inlineStr"/>
      <c r="D145" s="78" t="inlineStr">
        <is>
          <t>11:00</t>
        </is>
      </c>
      <c r="E145" s="78" t="inlineStr">
        <is>
          <t>도보 또는 택시</t>
        </is>
      </c>
      <c r="F145" s="78" t="inlineStr">
        <is>
          <t>세바나방크까지 3km</t>
        </is>
      </c>
      <c r="G145" s="78" t="inlineStr">
        <is>
          <t>걸어서 40분, 택시 1,000드람. 반도 입구까지는 평지입니다</t>
        </is>
      </c>
    </row>
    <row r="146">
      <c r="A146" s="78" t="inlineStr">
        <is>
          <t>9/29</t>
        </is>
      </c>
      <c r="B146" s="78" t="inlineStr">
        <is>
          <t>화</t>
        </is>
      </c>
      <c r="C146" s="78" t="inlineStr"/>
      <c r="D146" s="78" t="inlineStr">
        <is>
          <t>11:30</t>
        </is>
      </c>
      <c r="E146" s="78" t="inlineStr"/>
      <c r="F146" s="78" t="inlineStr">
        <is>
          <t>세바나방크</t>
        </is>
      </c>
      <c r="G146" s="78" t="inlineStr">
        <is>
          <t>[무료] 9세기. 반도 언덕 꼭대기까지 계단 200여 개, 오르면 호수가 사방으로 열립니다</t>
        </is>
      </c>
    </row>
    <row r="147">
      <c r="A147" s="78" t="inlineStr">
        <is>
          <t>9/29</t>
        </is>
      </c>
      <c r="B147" s="78" t="inlineStr">
        <is>
          <t>화</t>
        </is>
      </c>
      <c r="C147" s="78" t="inlineStr"/>
      <c r="D147" s="78" t="inlineStr">
        <is>
          <t>12:30</t>
        </is>
      </c>
      <c r="E147" s="78" t="inlineStr"/>
      <c r="F147" s="78" t="inlineStr">
        <is>
          <t>호숫가 점심</t>
        </is>
      </c>
      <c r="G147" s="78" t="inlineStr">
        <is>
          <t>이슈한(세반 송어)과 가재가 이 호수의 명물입니다</t>
        </is>
      </c>
    </row>
    <row r="148">
      <c r="A148" s="78" t="inlineStr">
        <is>
          <t>9/29</t>
        </is>
      </c>
      <c r="B148" s="78" t="inlineStr">
        <is>
          <t>화</t>
        </is>
      </c>
      <c r="C148" s="78" t="inlineStr"/>
      <c r="D148" s="78" t="inlineStr">
        <is>
          <t>14:00</t>
        </is>
      </c>
      <c r="E148" s="78" t="inlineStr">
        <is>
          <t>마르슈르트카</t>
        </is>
      </c>
      <c r="F148" s="78" t="inlineStr">
        <is>
          <t>예레반행</t>
        </is>
      </c>
      <c r="G148" s="78" t="inlineStr">
        <is>
          <t>1,000드람 · 1시간 · 수시 출발</t>
        </is>
      </c>
    </row>
    <row r="149">
      <c r="A149" s="78" t="inlineStr">
        <is>
          <t>9/29</t>
        </is>
      </c>
      <c r="B149" s="78" t="inlineStr">
        <is>
          <t>화</t>
        </is>
      </c>
      <c r="C149" s="78" t="inlineStr"/>
      <c r="D149" s="78" t="inlineStr">
        <is>
          <t>15:30</t>
        </is>
      </c>
      <c r="E149" s="78" t="inlineStr"/>
      <c r="F149" s="78" t="inlineStr">
        <is>
          <t>예레반 도착 · 체크인</t>
        </is>
      </c>
      <c r="G149" s="78" t="inlineStr">
        <is>
          <t>앞으로 4박 같은 숙소입니다</t>
        </is>
      </c>
    </row>
    <row r="150">
      <c r="A150" s="78" t="inlineStr">
        <is>
          <t>9/29</t>
        </is>
      </c>
      <c r="B150" s="78" t="inlineStr">
        <is>
          <t>화</t>
        </is>
      </c>
      <c r="C150" s="78" t="inlineStr"/>
      <c r="D150" s="78" t="inlineStr">
        <is>
          <t>17:00</t>
        </is>
      </c>
      <c r="E150" s="78" t="inlineStr"/>
      <c r="F150" s="78" t="inlineStr">
        <is>
          <t>공화국 광장 · 캐스케이드 방향 산책</t>
        </is>
      </c>
      <c r="G150" s="78" t="inlineStr"/>
    </row>
    <row r="151">
      <c r="A151" s="78" t="inlineStr">
        <is>
          <t>9/29</t>
        </is>
      </c>
      <c r="B151" s="78" t="inlineStr">
        <is>
          <t>화</t>
        </is>
      </c>
      <c r="C151" s="78" t="inlineStr"/>
      <c r="D151" s="78" t="inlineStr">
        <is>
          <t>19:00</t>
        </is>
      </c>
      <c r="E151" s="78" t="inlineStr"/>
      <c r="F151" s="78" t="inlineStr">
        <is>
          <t>저녁 · 공화국 광장 분수쇼</t>
        </is>
      </c>
      <c r="G151" s="78" t="inlineStr">
        <is>
          <t>5~10월 21시 전후. 계절 운영이라 첫날 저녁에 확인해두세요</t>
        </is>
      </c>
    </row>
    <row r="152">
      <c r="A152" s="78" t="inlineStr">
        <is>
          <t>9/29</t>
        </is>
      </c>
      <c r="B152" s="78" t="inlineStr">
        <is>
          <t>화</t>
        </is>
      </c>
      <c r="C152" s="78" t="inlineStr"/>
      <c r="D152" s="78" t="inlineStr">
        <is>
          <t>21:00</t>
        </is>
      </c>
      <c r="E152" s="78" t="inlineStr"/>
      <c r="F152" s="78" t="inlineStr">
        <is>
          <t>내일 타테브 투어 픽업 시각·장소 확인</t>
        </is>
      </c>
      <c r="G152" s="78" t="inlineStr"/>
    </row>
    <row r="153">
      <c r="A153" s="78" t="inlineStr">
        <is>
          <t>9/29</t>
        </is>
      </c>
      <c r="B153" s="78" t="inlineStr">
        <is>
          <t>화</t>
        </is>
      </c>
      <c r="C153" s="78" t="inlineStr"/>
      <c r="D153" s="78" t="inlineStr"/>
      <c r="E153" s="78" t="inlineStr">
        <is>
          <t>주의</t>
        </is>
      </c>
      <c r="F153" s="78" t="inlineStr">
        <is>
          <t>세바나방크는 계단이 전부입니다. 반도 언덕 꼭대기까지 200개 남짓 올라야 하고 그늘이 없습니다. 물을 챙기세요. 호수 색은 해가 높을수록 짙어져서 정오 무렵이 가장 파랗습니다.</t>
        </is>
      </c>
      <c r="G153" s="78" t="inlineStr"/>
    </row>
    <row r="154">
      <c r="A154" s="78" t="inlineStr">
        <is>
          <t>9/29</t>
        </is>
      </c>
      <c r="B154" s="78" t="inlineStr">
        <is>
          <t>화</t>
        </is>
      </c>
      <c r="C154" s="78" t="inlineStr"/>
      <c r="D154" s="78" t="inlineStr"/>
      <c r="E154" s="78" t="inlineStr">
        <is>
          <t>주의</t>
        </is>
      </c>
      <c r="F154" s="78" t="inlineStr">
        <is>
          <t>오늘부터 예레반 4박 붙박이입니다. 남은 사흘(타테브 · 가르니 · 도심)은 전부 당일 왕복이라 짐을 풀어두고 다닐 수 있습니다. 이번 일정에서 가장 편한 구간이에요.</t>
        </is>
      </c>
      <c r="G154" s="78" t="inlineStr"/>
    </row>
    <row r="155">
      <c r="A155" s="78" t="inlineStr">
        <is>
          <t>9/29</t>
        </is>
      </c>
      <c r="B155" s="78" t="inlineStr">
        <is>
          <t>화</t>
        </is>
      </c>
      <c r="C155" s="78" t="inlineStr"/>
      <c r="D155" s="78" t="inlineStr"/>
      <c r="E155" s="78" t="inlineStr">
        <is>
          <t>주의</t>
        </is>
      </c>
      <c r="F155" s="78" t="inlineStr">
        <is>
          <t>딜리잔·세반·예레반은 한 줄로 이어져 있어 중간에 내려도 손해가 없습니다. 세반에서 시간이 남으면 호숫가에 더 있다가 늦은 편으로 내려와도 됩니다 — 예레반행은 수시 운행입니다.</t>
        </is>
      </c>
      <c r="G155" s="78" t="inlineStr"/>
    </row>
    <row r="156">
      <c r="A156" s="77" t="inlineStr">
        <is>
          <t>9/30</t>
        </is>
      </c>
      <c r="B156" s="77" t="inlineStr">
        <is>
          <t>수</t>
        </is>
      </c>
      <c r="C156" s="77" t="inlineStr">
        <is>
          <t>타테브 — 예레반발 1일 투어 · 14~15시간</t>
        </is>
      </c>
      <c r="D156" s="77" t="inlineStr"/>
      <c r="E156" s="77" t="inlineStr"/>
      <c r="F156" s="77" t="inlineStr">
        <is>
          <t>코르 비랍 · 노라방크 · 타테브를 하루에 잇는 남부 종주. 이번 여행에서 유일하게 투어를 쓰는 날입니다.</t>
        </is>
      </c>
      <c r="G156" s="77" t="inlineStr"/>
    </row>
    <row r="157">
      <c r="A157" s="78" t="inlineStr">
        <is>
          <t>9/30</t>
        </is>
      </c>
      <c r="B157" s="78" t="inlineStr">
        <is>
          <t>수</t>
        </is>
      </c>
      <c r="C157" s="78" t="inlineStr"/>
      <c r="D157" s="78" t="inlineStr">
        <is>
          <t>07:30</t>
        </is>
      </c>
      <c r="E157" s="78" t="inlineStr"/>
      <c r="F157" s="78" t="inlineStr">
        <is>
          <t>기상 · 조식</t>
        </is>
      </c>
      <c r="G157" s="78" t="inlineStr">
        <is>
          <t>가장 긴 하루입니다. 아침을 제대로 먹어두세요</t>
        </is>
      </c>
    </row>
    <row r="158">
      <c r="A158" s="78" t="inlineStr">
        <is>
          <t>9/30</t>
        </is>
      </c>
      <c r="B158" s="78" t="inlineStr">
        <is>
          <t>수</t>
        </is>
      </c>
      <c r="C158" s="78" t="inlineStr"/>
      <c r="D158" s="78" t="inlineStr">
        <is>
          <t>08:10</t>
        </is>
      </c>
      <c r="E158" s="78" t="inlineStr"/>
      <c r="F158" s="78" t="inlineStr">
        <is>
          <t>날반댠 96번지로 도보</t>
        </is>
      </c>
      <c r="G158" s="78" t="inlineStr">
        <is>
          <t>Hyur Service 사무실. 공화국 광장에서 걸어서 10분입니다</t>
        </is>
      </c>
    </row>
    <row r="159">
      <c r="A159" s="78" t="inlineStr">
        <is>
          <t>9/30</t>
        </is>
      </c>
      <c r="B159" s="78" t="inlineStr">
        <is>
          <t>수</t>
        </is>
      </c>
      <c r="C159" s="78" t="inlineStr"/>
      <c r="D159" s="78" t="inlineStr">
        <is>
          <t>08:30</t>
        </is>
      </c>
      <c r="E159" s="78" t="inlineStr">
        <is>
          <t>미니버스</t>
        </is>
      </c>
      <c r="F159" s="78" t="inlineStr">
        <is>
          <t>남부 1일 그룹투어 출발</t>
        </is>
      </c>
      <c r="G159" s="78" t="inlineStr">
        <is>
          <t>[약 25,000드람] 63.72달러 · 입장료와 케이블카 요금까지 전부 포함, 점심만 별도(4,200~5,300드람) · 영어·러시아어 가이드 · 차내 와이파이 · 생수·간식 제공</t>
        </is>
      </c>
    </row>
    <row r="160">
      <c r="A160" s="78" t="inlineStr">
        <is>
          <t>9/30</t>
        </is>
      </c>
      <c r="B160" s="78" t="inlineStr">
        <is>
          <t>수</t>
        </is>
      </c>
      <c r="C160" s="78" t="inlineStr"/>
      <c r="D160" s="78" t="inlineStr">
        <is>
          <t>10:00</t>
        </is>
      </c>
      <c r="E160" s="78" t="inlineStr"/>
      <c r="F160" s="78" t="inlineStr">
        <is>
          <t>코르 비랍</t>
        </is>
      </c>
      <c r="G160" s="78" t="inlineStr">
        <is>
          <t>터키 국경 철조망 앞에서 아라라트를 정면으로. 체류 50~60분</t>
        </is>
      </c>
    </row>
    <row r="161">
      <c r="A161" s="78" t="inlineStr">
        <is>
          <t>9/30</t>
        </is>
      </c>
      <c r="B161" s="78" t="inlineStr">
        <is>
          <t>수</t>
        </is>
      </c>
      <c r="C161" s="78" t="inlineStr"/>
      <c r="D161" s="78" t="inlineStr">
        <is>
          <t>12:30</t>
        </is>
      </c>
      <c r="E161" s="78" t="inlineStr"/>
      <c r="F161" s="78" t="inlineStr">
        <is>
          <t>노라방크</t>
        </is>
      </c>
      <c r="G161" s="78" t="inlineStr">
        <is>
          <t>붉은 절벽 사이 13세기 수도원. 자력으로 가면 아레니 갈림길 대기가 3~4시간이라 원래 뺐던 곳인데, 투어라 그냥 들릅니다</t>
        </is>
      </c>
    </row>
    <row r="162">
      <c r="A162" s="78" t="inlineStr">
        <is>
          <t>9/30</t>
        </is>
      </c>
      <c r="B162" s="78" t="inlineStr">
        <is>
          <t>수</t>
        </is>
      </c>
      <c r="C162" s="78" t="inlineStr"/>
      <c r="D162" s="78" t="inlineStr">
        <is>
          <t>13:45</t>
        </is>
      </c>
      <c r="E162" s="78" t="inlineStr"/>
      <c r="F162" s="78" t="inlineStr">
        <is>
          <t>아레니 부근 점심</t>
        </is>
      </c>
      <c r="G162" s="78" t="inlineStr">
        <is>
          <t>와인 산지입니다. 점심값은 투어 요금에 포함되지 않습니다</t>
        </is>
      </c>
    </row>
    <row r="163">
      <c r="A163" s="78" t="inlineStr">
        <is>
          <t>9/30</t>
        </is>
      </c>
      <c r="B163" s="78" t="inlineStr">
        <is>
          <t>수</t>
        </is>
      </c>
      <c r="C163" s="78" t="inlineStr"/>
      <c r="D163" s="78" t="inlineStr">
        <is>
          <t>16:30</t>
        </is>
      </c>
      <c r="E163" s="78" t="inlineStr"/>
      <c r="F163" s="78" t="inlineStr">
        <is>
          <t>윙스 오브 타테브 케이블카</t>
        </is>
      </c>
      <c r="G163" s="78" t="inlineStr">
        <is>
          <t>5.7km · 12분 · 정차 없는 케이블카로는 세계에서 가장 깁니다. 월요일 휴무라 화요일로 잡았습니다</t>
        </is>
      </c>
    </row>
    <row r="164">
      <c r="A164" s="78" t="inlineStr">
        <is>
          <t>9/30</t>
        </is>
      </c>
      <c r="B164" s="78" t="inlineStr">
        <is>
          <t>수</t>
        </is>
      </c>
      <c r="C164" s="78" t="inlineStr"/>
      <c r="D164" s="78" t="inlineStr">
        <is>
          <t>17:00</t>
        </is>
      </c>
      <c r="E164" s="78" t="inlineStr"/>
      <c r="F164" s="78" t="inlineStr">
        <is>
          <t>타테브 수도원</t>
        </is>
      </c>
      <c r="G164" s="78" t="inlineStr">
        <is>
          <t>9세기. 체류 50~60분 — 오후 늦은 빛에 협곡이 깊어집니다</t>
        </is>
      </c>
    </row>
    <row r="165">
      <c r="A165" s="78" t="inlineStr">
        <is>
          <t>9/30</t>
        </is>
      </c>
      <c r="B165" s="78" t="inlineStr">
        <is>
          <t>수</t>
        </is>
      </c>
      <c r="C165" s="78" t="inlineStr"/>
      <c r="D165" s="78" t="inlineStr">
        <is>
          <t>18:30</t>
        </is>
      </c>
      <c r="E165" s="78" t="inlineStr"/>
      <c r="F165" s="78" t="inlineStr">
        <is>
          <t>케이블카 하행 · 예레반행 출발</t>
        </is>
      </c>
      <c r="G165" s="78" t="inlineStr"/>
    </row>
    <row r="166">
      <c r="A166" s="78" t="inlineStr">
        <is>
          <t>9/30</t>
        </is>
      </c>
      <c r="B166" s="78" t="inlineStr">
        <is>
          <t>수</t>
        </is>
      </c>
      <c r="C166" s="78" t="inlineStr"/>
      <c r="D166" s="78" t="inlineStr">
        <is>
          <t>22:30</t>
        </is>
      </c>
      <c r="E166" s="78" t="inlineStr"/>
      <c r="F166" s="78" t="inlineStr">
        <is>
          <t>예레반 복귀</t>
        </is>
      </c>
      <c r="G166" s="78" t="inlineStr">
        <is>
          <t>사무실 하차이고 숙소까지 데려다주지 않습니다. 심야라 숙소까지 걷거나 택시 1,000드람</t>
        </is>
      </c>
    </row>
    <row r="167">
      <c r="A167" s="78" t="inlineStr">
        <is>
          <t>9/30</t>
        </is>
      </c>
      <c r="B167" s="78" t="inlineStr">
        <is>
          <t>수</t>
        </is>
      </c>
      <c r="C167" s="78" t="inlineStr"/>
      <c r="D167" s="78" t="inlineStr"/>
      <c r="E167" s="78" t="inlineStr">
        <is>
          <t>주의</t>
        </is>
      </c>
      <c r="F167" s="78" t="inlineStr">
        <is>
          <t>이번 여행에서 투어를 쓰는 유일한 날입니다. 자력으로 가면 607번 왕복 6,000 + 할리조르 택시 6,000 + 케이블카 8,000드람에 남부 숙박 1박까지 붙어 약 10만 3천원이 들고 이틀이 사라집니다. 투어는 약 9만 7천원에 하루로 끝나고 노라방크까지 딸려옵니다 — 원칙에는 어긋나지만 이 구간만은 투어가 싸고 빠릅니다.</t>
        </is>
      </c>
      <c r="G167" s="78" t="inlineStr"/>
    </row>
    <row r="168">
      <c r="A168" s="78" t="inlineStr">
        <is>
          <t>9/30</t>
        </is>
      </c>
      <c r="B168" s="78" t="inlineStr">
        <is>
          <t>수</t>
        </is>
      </c>
      <c r="C168" s="78" t="inlineStr"/>
      <c r="D168" s="78" t="inlineStr"/>
      <c r="E168" s="78" t="inlineStr">
        <is>
          <t>주의</t>
        </is>
      </c>
      <c r="F168" s="78" t="inlineStr">
        <is>
          <t>예약할 때 9/29(화) 운행 여부를 꼭 확인하세요. 온라인 사전 예약을 권하고, 보통 24시간 전까지 무료 취소가 됩니다. 타테브 케이블카가 월요일 휴무라 화요일을 골랐습니다.</t>
        </is>
      </c>
      <c r="G168" s="78" t="inlineStr"/>
    </row>
    <row r="169">
      <c r="A169" s="78" t="inlineStr">
        <is>
          <t>9/30</t>
        </is>
      </c>
      <c r="B169" s="78" t="inlineStr">
        <is>
          <t>수</t>
        </is>
      </c>
      <c r="C169" s="78" t="inlineStr"/>
      <c r="D169" s="78" t="inlineStr"/>
      <c r="E169" s="78" t="inlineStr">
        <is>
          <t>주의</t>
        </is>
      </c>
      <c r="F169" s="78" t="inlineStr">
        <is>
          <t>비바람이 심하면 케이블카가 멈춥니다. 그 경우 요금 일부가 환불되고 도로로 우회하는데 시간이 더 걸립니다. 그리고 22:30 복귀라 다음 날(9/30 가르니·게하르트)이 무겁습니다 — 힘들면 9/30 출발을 한두 시간 늦추세요.</t>
        </is>
      </c>
      <c r="G169" s="78" t="inlineStr"/>
    </row>
    <row r="170">
      <c r="A170" s="77" t="inlineStr">
        <is>
          <t>10/1</t>
        </is>
      </c>
      <c r="B170" s="77" t="inlineStr">
        <is>
          <t>목</t>
        </is>
      </c>
      <c r="C170" s="77" t="inlineStr">
        <is>
          <t>가르니 · 게하르트 — 종일</t>
        </is>
      </c>
      <c r="D170" s="77" t="inlineStr"/>
      <c r="E170" s="77" t="inlineStr"/>
      <c r="F170" s="77" t="inlineStr">
        <is>
          <t>협곡 바닥까지 내려갔다 오는 코스라 하루를 통째로 씁니다.</t>
        </is>
      </c>
      <c r="G170" s="77" t="inlineStr"/>
    </row>
    <row r="171">
      <c r="A171" s="78" t="inlineStr">
        <is>
          <t>10/1</t>
        </is>
      </c>
      <c r="B171" s="78" t="inlineStr">
        <is>
          <t>목</t>
        </is>
      </c>
      <c r="C171" s="78" t="inlineStr"/>
      <c r="D171" s="78" t="inlineStr">
        <is>
          <t>09:00</t>
        </is>
      </c>
      <c r="E171" s="78" t="inlineStr">
        <is>
          <t>266 · 284번</t>
        </is>
      </c>
      <c r="F171" s="78" t="inlineStr">
        <is>
          <t>가이 정류장에서 가르니행</t>
        </is>
      </c>
      <c r="G171" s="78" t="inlineStr">
        <is>
          <t>왕복 500드람 · 30분 간격</t>
        </is>
      </c>
    </row>
    <row r="172">
      <c r="A172" s="78" t="inlineStr">
        <is>
          <t>10/1</t>
        </is>
      </c>
      <c r="B172" s="78" t="inlineStr">
        <is>
          <t>목</t>
        </is>
      </c>
      <c r="C172" s="78" t="inlineStr"/>
      <c r="D172" s="78" t="inlineStr">
        <is>
          <t>10:15</t>
        </is>
      </c>
      <c r="E172" s="78" t="inlineStr"/>
      <c r="F172" s="78" t="inlineStr">
        <is>
          <t>가르니 신전</t>
        </is>
      </c>
      <c r="G172" s="78" t="inlineStr">
        <is>
          <t>[1,800드람] 1세기 그리스식 열주 신전. 아르메니아에 하나 남은 이교 건축입니다</t>
        </is>
      </c>
    </row>
    <row r="173">
      <c r="A173" s="78" t="inlineStr">
        <is>
          <t>10/1</t>
        </is>
      </c>
      <c r="B173" s="78" t="inlineStr">
        <is>
          <t>목</t>
        </is>
      </c>
      <c r="C173" s="78" t="inlineStr"/>
      <c r="D173" s="78" t="inlineStr">
        <is>
          <t>11:00</t>
        </is>
      </c>
      <c r="E173" s="78" t="inlineStr"/>
      <c r="F173" s="78" t="inlineStr">
        <is>
          <t>협곡으로 내려가 '돌의 교향곡' 주상절리</t>
        </is>
      </c>
      <c r="G173" s="78" t="inlineStr">
        <is>
          <t>[무료] 왕복 1시간 도보. 신전 아래로 난 길이 가파르니 신발을 확인하세요. 사진으로 본 것보다 실제가 훨씬 큽니다</t>
        </is>
      </c>
    </row>
    <row r="174">
      <c r="A174" s="78" t="inlineStr">
        <is>
          <t>10/1</t>
        </is>
      </c>
      <c r="B174" s="78" t="inlineStr">
        <is>
          <t>목</t>
        </is>
      </c>
      <c r="C174" s="78" t="inlineStr"/>
      <c r="D174" s="78" t="inlineStr">
        <is>
          <t>12:30</t>
        </is>
      </c>
      <c r="E174" s="78" t="inlineStr">
        <is>
          <t>택시</t>
        </is>
      </c>
      <c r="F174" s="78" t="inlineStr">
        <is>
          <t>가르니 광장에서 게하르트 왕복</t>
        </is>
      </c>
      <c r="G174" s="78" t="inlineStr">
        <is>
          <t>3,000드람 · 9km · 대중교통이 없습니다. 광장에서 같이 갈 사람을 찾으면 반값이 됩니다</t>
        </is>
      </c>
    </row>
    <row r="175">
      <c r="A175" s="78" t="inlineStr">
        <is>
          <t>10/1</t>
        </is>
      </c>
      <c r="B175" s="78" t="inlineStr">
        <is>
          <t>목</t>
        </is>
      </c>
      <c r="C175" s="78" t="inlineStr"/>
      <c r="D175" s="78" t="inlineStr">
        <is>
          <t>13:00</t>
        </is>
      </c>
      <c r="E175" s="78" t="inlineStr"/>
      <c r="F175" s="78" t="inlineStr">
        <is>
          <t>게하르트 수도원</t>
        </is>
      </c>
      <c r="G175" s="78" t="inlineStr">
        <is>
          <t>[무료] 암반을 통째로 파낸 내부. 안쪽 방에서 성가를 부르면 잔향이 오래 남습니다</t>
        </is>
      </c>
    </row>
    <row r="176">
      <c r="A176" s="78" t="inlineStr">
        <is>
          <t>10/1</t>
        </is>
      </c>
      <c r="B176" s="78" t="inlineStr">
        <is>
          <t>목</t>
        </is>
      </c>
      <c r="C176" s="78" t="inlineStr"/>
      <c r="D176" s="78" t="inlineStr">
        <is>
          <t>15:00</t>
        </is>
      </c>
      <c r="E176" s="78" t="inlineStr"/>
      <c r="F176" s="78" t="inlineStr">
        <is>
          <t>가르니에서 늦은 점심</t>
        </is>
      </c>
      <c r="G176" s="78" t="inlineStr">
        <is>
          <t>광장 근처에 화덕에서 라바시를 굽는 집이 있습니다</t>
        </is>
      </c>
    </row>
    <row r="177">
      <c r="A177" s="78" t="inlineStr">
        <is>
          <t>10/1</t>
        </is>
      </c>
      <c r="B177" s="78" t="inlineStr">
        <is>
          <t>목</t>
        </is>
      </c>
      <c r="C177" s="78" t="inlineStr"/>
      <c r="D177" s="78" t="inlineStr">
        <is>
          <t>17:30</t>
        </is>
      </c>
      <c r="E177" s="78" t="inlineStr"/>
      <c r="F177" s="78" t="inlineStr">
        <is>
          <t>예레반 복귀</t>
        </is>
      </c>
      <c r="G177" s="78" t="inlineStr"/>
    </row>
    <row r="178">
      <c r="A178" s="78" t="inlineStr">
        <is>
          <t>10/1</t>
        </is>
      </c>
      <c r="B178" s="78" t="inlineStr">
        <is>
          <t>목</t>
        </is>
      </c>
      <c r="C178" s="78" t="inlineStr"/>
      <c r="D178" s="78" t="inlineStr">
        <is>
          <t>19:00</t>
        </is>
      </c>
      <c r="E178" s="78" t="inlineStr"/>
      <c r="F178" s="78" t="inlineStr">
        <is>
          <t>저녁</t>
        </is>
      </c>
      <c r="G178" s="78" t="inlineStr"/>
    </row>
    <row r="179">
      <c r="A179" s="78" t="inlineStr">
        <is>
          <t>10/1</t>
        </is>
      </c>
      <c r="B179" s="78" t="inlineStr">
        <is>
          <t>목</t>
        </is>
      </c>
      <c r="C179" s="78" t="inlineStr"/>
      <c r="D179" s="78" t="inlineStr">
        <is>
          <t>20:30</t>
        </is>
      </c>
      <c r="E179" s="78" t="inlineStr"/>
      <c r="F179" s="78" t="inlineStr">
        <is>
          <t>공화국 광장 음악분수</t>
        </is>
      </c>
      <c r="G179" s="78" t="inlineStr">
        <is>
          <t>[무료] 5~10월 저녁에만 돕니다. 9월 말이면 운영 막바지라, 그날 저녁 광장에 물이 도는지 보고 판단하세요</t>
        </is>
      </c>
    </row>
    <row r="180">
      <c r="A180" s="78" t="inlineStr">
        <is>
          <t>10/1</t>
        </is>
      </c>
      <c r="B180" s="78" t="inlineStr">
        <is>
          <t>목</t>
        </is>
      </c>
      <c r="C180" s="78" t="inlineStr"/>
      <c r="D180" s="78" t="inlineStr"/>
      <c r="E180" s="78" t="inlineStr">
        <is>
          <t>주의</t>
        </is>
      </c>
      <c r="F180" s="78" t="inlineStr">
        <is>
          <t>원래 반나절짜리였는데 협곡 왕복 도보를 넣어 종일 코스로 바꿨습니다. 가르니는 신전만 보면 30분이지만, 아래 아자트 강 협곡의 주상절리까지 내려갔다 오면 여기가 이 날의 중심이 됩니다.</t>
        </is>
      </c>
      <c r="G180" s="78" t="inlineStr"/>
    </row>
    <row r="181">
      <c r="A181" s="77" t="inlineStr">
        <is>
          <t>10/2</t>
        </is>
      </c>
      <c r="B181" s="77" t="inlineStr">
        <is>
          <t>금</t>
        </is>
      </c>
      <c r="C181" s="77" t="inlineStr">
        <is>
          <t>예레반 도심 — 새벽 비행 전날</t>
        </is>
      </c>
      <c r="D181" s="77" t="inlineStr"/>
      <c r="E181" s="77" t="inlineStr"/>
      <c r="F181" s="77" t="inlineStr">
        <is>
          <t>01:30에 숙소를 나서야 하는 날입니다. 멀리 가지 않고 시내 실내 전시로 마무리합니다.</t>
        </is>
      </c>
      <c r="G181" s="77" t="inlineStr"/>
    </row>
    <row r="182">
      <c r="A182" s="78" t="inlineStr">
        <is>
          <t>10/2</t>
        </is>
      </c>
      <c r="B182" s="78" t="inlineStr">
        <is>
          <t>금</t>
        </is>
      </c>
      <c r="C182" s="78" t="inlineStr"/>
      <c r="D182" s="78" t="inlineStr">
        <is>
          <t>09:30</t>
        </is>
      </c>
      <c r="E182" s="78" t="inlineStr"/>
      <c r="F182" s="78" t="inlineStr">
        <is>
          <t>마테나다란 고문서관</t>
        </is>
      </c>
      <c r="G182" s="78" t="inlineStr">
        <is>
          <t>[2,000드람] 2,000드람 · 화~토 개관, 일·월 휴관. 아르메니아 문자로 쓰인 중세 필사본 컬렉션</t>
        </is>
      </c>
    </row>
    <row r="183">
      <c r="A183" s="78" t="inlineStr">
        <is>
          <t>10/2</t>
        </is>
      </c>
      <c r="B183" s="78" t="inlineStr">
        <is>
          <t>금</t>
        </is>
      </c>
      <c r="C183" s="78" t="inlineStr"/>
      <c r="D183" s="78" t="inlineStr">
        <is>
          <t>11:30</t>
        </is>
      </c>
      <c r="E183" s="78" t="inlineStr"/>
      <c r="F183" s="78" t="inlineStr">
        <is>
          <t>캐스케이드 · 카페시안 야외 조각</t>
        </is>
      </c>
      <c r="G183" s="78" t="inlineStr">
        <is>
          <t>[무료] 계단 자체는 무료. 꼭대기에서 날씨가 맑으면 아라라트 산이 보입니다</t>
        </is>
      </c>
    </row>
    <row r="184">
      <c r="A184" s="78" t="inlineStr">
        <is>
          <t>10/2</t>
        </is>
      </c>
      <c r="B184" s="78" t="inlineStr">
        <is>
          <t>금</t>
        </is>
      </c>
      <c r="C184" s="78" t="inlineStr"/>
      <c r="D184" s="78" t="inlineStr">
        <is>
          <t>13:00</t>
        </is>
      </c>
      <c r="E184" s="78" t="inlineStr"/>
      <c r="F184" s="78" t="inlineStr">
        <is>
          <t>점심</t>
        </is>
      </c>
      <c r="G184" s="78" t="inlineStr"/>
    </row>
    <row r="185">
      <c r="A185" s="78" t="inlineStr">
        <is>
          <t>10/2</t>
        </is>
      </c>
      <c r="B185" s="78" t="inlineStr">
        <is>
          <t>금</t>
        </is>
      </c>
      <c r="C185" s="78" t="inlineStr"/>
      <c r="D185" s="78" t="inlineStr">
        <is>
          <t>14:30</t>
        </is>
      </c>
      <c r="E185" s="78" t="inlineStr"/>
      <c r="F185" s="78" t="inlineStr">
        <is>
          <t>대학살 추모관</t>
        </is>
      </c>
      <c r="G185" s="78" t="inlineStr">
        <is>
          <t>[무료] 화~일 개관, 월요일 휴관. 언덕 위라 시내에서 3km 서쪽입니다</t>
        </is>
      </c>
    </row>
    <row r="186">
      <c r="A186" s="78" t="inlineStr">
        <is>
          <t>10/2</t>
        </is>
      </c>
      <c r="B186" s="78" t="inlineStr">
        <is>
          <t>금</t>
        </is>
      </c>
      <c r="C186" s="78" t="inlineStr"/>
      <c r="D186" s="78" t="inlineStr">
        <is>
          <t>16:30</t>
        </is>
      </c>
      <c r="E186" s="78" t="inlineStr"/>
      <c r="F186" s="78" t="inlineStr">
        <is>
          <t>GUM 시장 · 베르니사주</t>
        </is>
      </c>
      <c r="G186" s="78" t="inlineStr">
        <is>
          <t>건과일·아프리콧·향신료. 베르니사주는 주말 위주라 금요일은 규모가 작습니다</t>
        </is>
      </c>
    </row>
    <row r="187">
      <c r="A187" s="78" t="inlineStr">
        <is>
          <t>10/2</t>
        </is>
      </c>
      <c r="B187" s="78" t="inlineStr">
        <is>
          <t>금</t>
        </is>
      </c>
      <c r="C187" s="78" t="inlineStr"/>
      <c r="D187" s="78" t="inlineStr">
        <is>
          <t>18:00</t>
        </is>
      </c>
      <c r="E187" s="78" t="inlineStr"/>
      <c r="F187" s="78" t="inlineStr">
        <is>
          <t>숙소 복귀 · 짐 싸기 · 샤워</t>
        </is>
      </c>
      <c r="G187" s="78" t="inlineStr"/>
    </row>
    <row r="188">
      <c r="A188" s="78" t="inlineStr">
        <is>
          <t>10/2</t>
        </is>
      </c>
      <c r="B188" s="78" t="inlineStr">
        <is>
          <t>금</t>
        </is>
      </c>
      <c r="C188" s="78" t="inlineStr"/>
      <c r="D188" s="78" t="inlineStr">
        <is>
          <t>20:00</t>
        </is>
      </c>
      <c r="E188" s="78" t="inlineStr"/>
      <c r="F188" s="78" t="inlineStr">
        <is>
          <t>이른 저녁</t>
        </is>
      </c>
      <c r="G188" s="78" t="inlineStr"/>
    </row>
    <row r="189">
      <c r="A189" s="78" t="inlineStr">
        <is>
          <t>10/2</t>
        </is>
      </c>
      <c r="B189" s="78" t="inlineStr">
        <is>
          <t>금</t>
        </is>
      </c>
      <c r="C189" s="78" t="inlineStr"/>
      <c r="D189" s="78" t="inlineStr">
        <is>
          <t>21:30</t>
        </is>
      </c>
      <c r="E189" s="78" t="inlineStr"/>
      <c r="F189" s="78" t="inlineStr">
        <is>
          <t>취침 시도</t>
        </is>
      </c>
      <c r="G189" s="78" t="inlineStr">
        <is>
          <t>서너 시간이라도 자두면 아테네에서의 하루가 달라집니다</t>
        </is>
      </c>
    </row>
    <row r="190">
      <c r="A190" s="78" t="inlineStr">
        <is>
          <t>10/2</t>
        </is>
      </c>
      <c r="B190" s="78" t="inlineStr">
        <is>
          <t>금</t>
        </is>
      </c>
      <c r="C190" s="78" t="inlineStr"/>
      <c r="D190" s="78" t="inlineStr">
        <is>
          <t>01:30</t>
        </is>
      </c>
      <c r="E190" s="78" t="inlineStr">
        <is>
          <t>택시</t>
        </is>
      </c>
      <c r="F190" s="78" t="inlineStr">
        <is>
          <t>즈바르트노츠 공항으로</t>
        </is>
      </c>
      <c r="G190" s="78" t="inlineStr">
        <is>
          <t>3,000~4,000드람 · 20분 · 날짜가 10/3으로 넘어갑니다</t>
        </is>
      </c>
    </row>
    <row r="191">
      <c r="A191" s="78" t="inlineStr">
        <is>
          <t>10/2</t>
        </is>
      </c>
      <c r="B191" s="78" t="inlineStr">
        <is>
          <t>금</t>
        </is>
      </c>
      <c r="C191" s="78" t="inlineStr"/>
      <c r="D191" s="78" t="inlineStr"/>
      <c r="E191" s="78" t="inlineStr">
        <is>
          <t>주의</t>
        </is>
      </c>
      <c r="F191" s="78" t="inlineStr">
        <is>
          <t>오늘은 일부러 비웠습니다. 10/3 04:25 예레반 출발이라 01:30에 숙소를 나섭니다. 사실상 잠을 못 자는 밤이고, 아테네에 06:20에 내려 그날 하루를 통째로 씁니다. 여기서 무리하면 아테네가 통째로 날아갑니다.</t>
        </is>
      </c>
      <c r="G191" s="78" t="inlineStr"/>
    </row>
    <row r="192">
      <c r="A192" s="78" t="inlineStr">
        <is>
          <t>10/2</t>
        </is>
      </c>
      <c r="B192" s="78" t="inlineStr">
        <is>
          <t>금</t>
        </is>
      </c>
      <c r="C192" s="78" t="inlineStr"/>
      <c r="D192" s="78" t="inlineStr"/>
      <c r="E192" s="78" t="inlineStr">
        <is>
          <t>주의</t>
        </is>
      </c>
      <c r="F192" s="78" t="inlineStr">
        <is>
          <t>에치미아진·즈바르트노츠는 이번엔 뺐습니다. 딜리잔·세반을 넣으면서 예레반 당일 왕복이 하루 줄었기 때문입니다. 오늘 오전이 아깝다면 마테나다란 대신 에치미아진(킬리키아 터미널에서 마르슈르트카 40분, 250드람)을 반나절로 다녀올 수 있지만, 새벽 비행 전날에 권하지는 않습니다.</t>
        </is>
      </c>
      <c r="G192" s="78" t="inlineStr"/>
    </row>
    <row r="193">
      <c r="A193" s="78" t="inlineStr">
        <is>
          <t>10/2</t>
        </is>
      </c>
      <c r="B193" s="78" t="inlineStr">
        <is>
          <t>금</t>
        </is>
      </c>
      <c r="C193" s="78" t="inlineStr"/>
      <c r="D193" s="78" t="inlineStr"/>
      <c r="E193" s="78" t="inlineStr">
        <is>
          <t>주의</t>
        </is>
      </c>
      <c r="F193" s="78" t="inlineStr">
        <is>
          <t>공항 택시는 전날 숙소에 예약해두세요. 새벽 1시대에 앱으로 잡으려면 시간이 걸리고, 잡히지 않으면 대안이 없습니다.</t>
        </is>
      </c>
      <c r="G193" s="78" t="inlineStr"/>
    </row>
    <row r="194">
      <c r="A194" s="78" t="inlineStr">
        <is>
          <t>10/2</t>
        </is>
      </c>
      <c r="B194" s="78" t="inlineStr">
        <is>
          <t>금</t>
        </is>
      </c>
      <c r="C194" s="78" t="inlineStr"/>
      <c r="D194" s="78" t="inlineStr"/>
      <c r="E194" s="78" t="inlineStr">
        <is>
          <t>주의</t>
        </is>
      </c>
      <c r="F194" s="78" t="inlineStr">
        <is>
          <t>금요일이라 마테나다란(일·월 휴관)과 대학살 추모관(월 휴관)이 둘 다 엽니다. 이 두 곳을 마지막 날에 몰아둔 것은 그래서입니다.</t>
        </is>
      </c>
      <c r="G194" s="78" t="inlineStr"/>
    </row>
    <row r="195">
      <c r="A195" s="79" t="inlineStr"/>
      <c r="B195" s="79" t="inlineStr"/>
      <c r="C195" s="79" t="inlineStr">
        <is>
          <t>✈ 이동</t>
        </is>
      </c>
      <c r="D195" s="79" t="inlineStr"/>
      <c r="E195" s="79" t="inlineStr"/>
      <c r="F195" s="79" t="inlineStr">
        <is>
          <t>10/3 새벽 — 예레반 04:25 → 아테네 06:20 에게안 A3 3899 · XD9TVH</t>
        </is>
      </c>
      <c r="G195" s="79" t="inlineStr">
        <is>
          <t>01:15 기상 → 01:30 택시 → 02:25 공항 도착(2시간 전) → 04:25 이륙. 직항 2시간 55분이지만 시차가 1시간 뒤로 가서 아테네 06:20 도착입니다. 기내에서 조금 더 눈을 붙일 수 있어요. 숙소 체크아웃은 새벽에 하면 되니 프런트에 미리 얘기해두세요.</t>
        </is>
      </c>
    </row>
    <row r="196">
      <c r="A196" s="77" t="inlineStr">
        <is>
          <t>10/3</t>
        </is>
      </c>
      <c r="B196" s="77" t="inlineStr">
        <is>
          <t>토</t>
        </is>
      </c>
      <c r="C196" s="77" t="inlineStr">
        <is>
          <t>아테네 — 06:20 도착, 하루 전체</t>
        </is>
      </c>
      <c r="D196" s="77" t="inlineStr"/>
      <c r="E196" s="77" t="inlineStr"/>
      <c r="F196" s="77" t="inlineStr">
        <is>
          <t>새벽 도착이라 오히려 하루를 가장 길게 씁니다. 다음 날 03:30 기상이라 저녁은 일찍 접습니다.</t>
        </is>
      </c>
      <c r="G196" s="77" t="inlineStr"/>
    </row>
    <row r="197">
      <c r="A197" s="78" t="inlineStr">
        <is>
          <t>10/3</t>
        </is>
      </c>
      <c r="B197" s="78" t="inlineStr">
        <is>
          <t>토</t>
        </is>
      </c>
      <c r="C197" s="78" t="inlineStr"/>
      <c r="D197" s="78" t="inlineStr">
        <is>
          <t>06:20</t>
        </is>
      </c>
      <c r="E197" s="78" t="inlineStr"/>
      <c r="F197" s="78" t="inlineStr">
        <is>
          <t>아테네 공항 도착 · 입국심사</t>
        </is>
      </c>
      <c r="G197" s="78" t="inlineStr">
        <is>
          <t>솅겐 역외 입국이라 심사가 있습니다. 짐 찾고 나오면 대략 06:50</t>
        </is>
      </c>
    </row>
    <row r="198">
      <c r="A198" s="78" t="inlineStr">
        <is>
          <t>10/3</t>
        </is>
      </c>
      <c r="B198" s="78" t="inlineStr">
        <is>
          <t>토</t>
        </is>
      </c>
      <c r="C198" s="78" t="inlineStr"/>
      <c r="D198" s="78" t="inlineStr">
        <is>
          <t>07:00</t>
        </is>
      </c>
      <c r="E198" s="78" t="inlineStr">
        <is>
          <t>메트로 3호선</t>
        </is>
      </c>
      <c r="F198" s="78" t="inlineStr">
        <is>
          <t>공항역 승차</t>
        </is>
      </c>
      <c r="G198" s="78" t="inlineStr">
        <is>
          <t>공항행 직통은 36분 간격이라 편수가 적습니다. 첫차 06:10~06:30 이후 다음 편을 타게 됩니다 · 최악의 경우 07:42 편이라도 신타그마 08:20 도착이라 일정에 지장 없습니다</t>
        </is>
      </c>
    </row>
    <row r="199">
      <c r="A199" s="78" t="inlineStr">
        <is>
          <t>10/3</t>
        </is>
      </c>
      <c r="B199" s="78" t="inlineStr">
        <is>
          <t>토</t>
        </is>
      </c>
      <c r="C199" s="78" t="inlineStr"/>
      <c r="D199" s="78" t="inlineStr">
        <is>
          <t>07:45</t>
        </is>
      </c>
      <c r="E199" s="78" t="inlineStr"/>
      <c r="F199" s="78" t="inlineStr">
        <is>
          <t>신타그마역 도착</t>
        </is>
      </c>
      <c r="G199" s="78" t="inlineStr">
        <is>
          <t>10유로 · 40분 · 아테네 지하철역에는 코인로커가 없습니다. 호텔 얼리 짐보관을 부탁하거나 유료 보관소(5~8유로)를 쓰세요</t>
        </is>
      </c>
    </row>
    <row r="200">
      <c r="A200" s="78" t="inlineStr">
        <is>
          <t>10/3</t>
        </is>
      </c>
      <c r="B200" s="78" t="inlineStr">
        <is>
          <t>토</t>
        </is>
      </c>
      <c r="C200" s="78" t="inlineStr"/>
      <c r="D200" s="78" t="inlineStr">
        <is>
          <t>08:00</t>
        </is>
      </c>
      <c r="E200" s="78" t="inlineStr"/>
      <c r="F200" s="78" t="inlineStr">
        <is>
          <t>숙소에 짐 맡기기</t>
        </is>
      </c>
      <c r="G200" s="78" t="inlineStr">
        <is>
          <t>[사전 확인] 체크인은 오후지만 얼리 짐보관은 대부분 됩니다. 다만 소규모 호스텔은 이른 아침 프런트가 비기도 하니 예약 전에 "08:00 짐 보관 가능한지" 메시지로 확인하세요 · 아크로폴리스는 큰 가방 반입이 안 됩니다. 짐을 놓고 가는 것이 선택이 아니라 필수입니다</t>
        </is>
      </c>
    </row>
    <row r="201">
      <c r="A201" s="78" t="inlineStr">
        <is>
          <t>10/3</t>
        </is>
      </c>
      <c r="B201" s="78" t="inlineStr">
        <is>
          <t>토</t>
        </is>
      </c>
      <c r="C201" s="78" t="inlineStr"/>
      <c r="D201" s="78" t="inlineStr">
        <is>
          <t>08:20</t>
        </is>
      </c>
      <c r="E201" s="78" t="inlineStr"/>
      <c r="F201" s="78" t="inlineStr">
        <is>
          <t>카페에서 아침</t>
        </is>
      </c>
      <c r="G201" s="78" t="inlineStr"/>
    </row>
    <row r="202">
      <c r="A202" s="78" t="inlineStr">
        <is>
          <t>10/3</t>
        </is>
      </c>
      <c r="B202" s="78" t="inlineStr">
        <is>
          <t>토</t>
        </is>
      </c>
      <c r="C202" s="78" t="inlineStr"/>
      <c r="D202" s="78" t="inlineStr">
        <is>
          <t>08:50</t>
        </is>
      </c>
      <c r="E202" s="78" t="inlineStr"/>
      <c r="F202" s="78" t="inlineStr">
        <is>
          <t>아크로폴리스로 도보 이동</t>
        </is>
      </c>
      <c r="G202" s="78" t="inlineStr">
        <is>
          <t>신타그마 → 서쪽(주 출입구) 약 1.2km · 플라카를 통과해 마지막이 오르막 · 20~25분</t>
        </is>
      </c>
    </row>
    <row r="203">
      <c r="A203" s="78" t="inlineStr">
        <is>
          <t>10/3</t>
        </is>
      </c>
      <c r="B203" s="78" t="inlineStr">
        <is>
          <t>토</t>
        </is>
      </c>
      <c r="C203" s="78" t="inlineStr"/>
      <c r="D203" s="78" t="inlineStr">
        <is>
          <t>09:15</t>
        </is>
      </c>
      <c r="E203" s="78" t="inlineStr"/>
      <c r="F203" s="78" t="inlineStr">
        <is>
          <t>아크로폴리스</t>
        </is>
      </c>
      <c r="G203" s="78" t="inlineStr">
        <is>
          <t>[09:00~10:00 예매 완료] 시간대 안이면 언제 들어가도 됩니다. 일찍 닿으면 09:00에 바로 들어가고, 늦어도 10:00 전에만 게이트를 통과하면 됩니다 · 최악의 도착 예상이 09:15이라 45분 여유가 남습니다. 이 날 유일하게 시간에 묶인 항목인데 이제 안전권입니다</t>
        </is>
      </c>
    </row>
    <row r="204">
      <c r="A204" s="78" t="inlineStr">
        <is>
          <t>10/3</t>
        </is>
      </c>
      <c r="B204" s="78" t="inlineStr">
        <is>
          <t>토</t>
        </is>
      </c>
      <c r="C204" s="78" t="inlineStr"/>
      <c r="D204" s="78" t="inlineStr">
        <is>
          <t>11:15</t>
        </is>
      </c>
      <c r="E204" s="78" t="inlineStr"/>
      <c r="F204" s="78" t="inlineStr">
        <is>
          <t>아크로폴리스 박물관</t>
        </is>
      </c>
      <c r="G204" s="78" t="inlineStr"/>
    </row>
    <row r="205">
      <c r="A205" s="78" t="inlineStr">
        <is>
          <t>10/3</t>
        </is>
      </c>
      <c r="B205" s="78" t="inlineStr">
        <is>
          <t>토</t>
        </is>
      </c>
      <c r="C205" s="78" t="inlineStr"/>
      <c r="D205" s="78" t="inlineStr">
        <is>
          <t>12:45</t>
        </is>
      </c>
      <c r="E205" s="78" t="inlineStr"/>
      <c r="F205" s="78" t="inlineStr">
        <is>
          <t>플라카에서 점심</t>
        </is>
      </c>
      <c r="G205" s="78" t="inlineStr"/>
    </row>
    <row r="206">
      <c r="A206" s="78" t="inlineStr">
        <is>
          <t>10/3</t>
        </is>
      </c>
      <c r="B206" s="78" t="inlineStr">
        <is>
          <t>토</t>
        </is>
      </c>
      <c r="C206" s="78" t="inlineStr"/>
      <c r="D206" s="78" t="inlineStr">
        <is>
          <t>14:00</t>
        </is>
      </c>
      <c r="E206" s="78" t="inlineStr"/>
      <c r="F206" s="78" t="inlineStr">
        <is>
          <t>고대 아고라 · 헤파이스토스 신전</t>
        </is>
      </c>
      <c r="G206" s="78" t="inlineStr"/>
    </row>
    <row r="207">
      <c r="A207" s="78" t="inlineStr">
        <is>
          <t>10/3</t>
        </is>
      </c>
      <c r="B207" s="78" t="inlineStr">
        <is>
          <t>토</t>
        </is>
      </c>
      <c r="C207" s="78" t="inlineStr"/>
      <c r="D207" s="78" t="inlineStr">
        <is>
          <t>15:30</t>
        </is>
      </c>
      <c r="E207" s="78" t="inlineStr"/>
      <c r="F207" s="78" t="inlineStr">
        <is>
          <t>모나스티라키 벼룩시장</t>
        </is>
      </c>
      <c r="G207" s="78" t="inlineStr"/>
    </row>
    <row r="208">
      <c r="A208" s="78" t="inlineStr">
        <is>
          <t>10/3</t>
        </is>
      </c>
      <c r="B208" s="78" t="inlineStr">
        <is>
          <t>토</t>
        </is>
      </c>
      <c r="C208" s="78" t="inlineStr"/>
      <c r="D208" s="78" t="inlineStr">
        <is>
          <t>17:00</t>
        </is>
      </c>
      <c r="E208" s="78" t="inlineStr"/>
      <c r="F208" s="78" t="inlineStr">
        <is>
          <t>신타그마 근위병 교대식</t>
        </is>
      </c>
      <c r="G208" s="78" t="inlineStr"/>
    </row>
    <row r="209">
      <c r="A209" s="78" t="inlineStr">
        <is>
          <t>10/3</t>
        </is>
      </c>
      <c r="B209" s="78" t="inlineStr">
        <is>
          <t>토</t>
        </is>
      </c>
      <c r="C209" s="78" t="inlineStr"/>
      <c r="D209" s="78" t="inlineStr">
        <is>
          <t>18:00</t>
        </is>
      </c>
      <c r="E209" s="78" t="inlineStr"/>
      <c r="F209" s="78" t="inlineStr">
        <is>
          <t>호텔 체크인 · 샤워</t>
        </is>
      </c>
      <c r="G209" s="78" t="inlineStr"/>
    </row>
    <row r="210">
      <c r="A210" s="78" t="inlineStr">
        <is>
          <t>10/3</t>
        </is>
      </c>
      <c r="B210" s="78" t="inlineStr">
        <is>
          <t>토</t>
        </is>
      </c>
      <c r="C210" s="78" t="inlineStr"/>
      <c r="D210" s="78" t="inlineStr">
        <is>
          <t>19:00</t>
        </is>
      </c>
      <c r="E210" s="78" t="inlineStr"/>
      <c r="F210" s="78" t="inlineStr">
        <is>
          <t>저녁</t>
        </is>
      </c>
      <c r="G210" s="78" t="inlineStr"/>
    </row>
    <row r="211">
      <c r="A211" s="78" t="inlineStr">
        <is>
          <t>10/3</t>
        </is>
      </c>
      <c r="B211" s="78" t="inlineStr">
        <is>
          <t>토</t>
        </is>
      </c>
      <c r="C211" s="78" t="inlineStr"/>
      <c r="D211" s="78" t="inlineStr">
        <is>
          <t>21:00</t>
        </is>
      </c>
      <c r="E211" s="78" t="inlineStr"/>
      <c r="F211" s="78" t="inlineStr">
        <is>
          <t>호텔 복귀 · 짐 정리</t>
        </is>
      </c>
      <c r="G211" s="78" t="inlineStr">
        <is>
          <t>새벽 출발이 빨라졌으니 저녁을 앞당길 것</t>
        </is>
      </c>
    </row>
    <row r="212">
      <c r="A212" s="78" t="inlineStr">
        <is>
          <t>10/3</t>
        </is>
      </c>
      <c r="B212" s="78" t="inlineStr">
        <is>
          <t>토</t>
        </is>
      </c>
      <c r="C212" s="78" t="inlineStr"/>
      <c r="D212" s="78" t="inlineStr">
        <is>
          <t>21:30</t>
        </is>
      </c>
      <c r="E212" s="78" t="inlineStr"/>
      <c r="F212" s="78" t="inlineStr">
        <is>
          <t>취침</t>
        </is>
      </c>
      <c r="G212" s="78" t="inlineStr"/>
    </row>
    <row r="213">
      <c r="A213" s="78" t="inlineStr">
        <is>
          <t>10/3</t>
        </is>
      </c>
      <c r="B213" s="78" t="inlineStr">
        <is>
          <t>토</t>
        </is>
      </c>
      <c r="C213" s="78" t="inlineStr"/>
      <c r="D213" s="78" t="inlineStr">
        <is>
          <t>03:30</t>
        </is>
      </c>
      <c r="E213" s="78" t="inlineStr"/>
      <c r="F213" s="78" t="inlineStr">
        <is>
          <t>기상</t>
        </is>
      </c>
      <c r="G213" s="78" t="inlineStr">
        <is>
          <t>날짜가 10/4로 넘어갑니다</t>
        </is>
      </c>
    </row>
    <row r="214">
      <c r="A214" s="78" t="inlineStr">
        <is>
          <t>10/3</t>
        </is>
      </c>
      <c r="B214" s="78" t="inlineStr">
        <is>
          <t>토</t>
        </is>
      </c>
      <c r="C214" s="78" t="inlineStr"/>
      <c r="D214" s="78" t="inlineStr">
        <is>
          <t>03:55</t>
        </is>
      </c>
      <c r="E214" s="78" t="inlineStr"/>
      <c r="F214" s="78" t="inlineStr">
        <is>
          <t>체크아웃 · 신타그마 X95 정류장 도착</t>
        </is>
      </c>
      <c r="G214" s="78" t="inlineStr">
        <is>
          <t>정류장은 신타그마 광장 남동쪽 모서리. 야간이라 미리 위치를 확인해두세요</t>
        </is>
      </c>
    </row>
    <row r="215">
      <c r="A215" s="78" t="inlineStr">
        <is>
          <t>10/3</t>
        </is>
      </c>
      <c r="B215" s="78" t="inlineStr">
        <is>
          <t>토</t>
        </is>
      </c>
      <c r="C215" s="78" t="inlineStr"/>
      <c r="D215" s="78" t="inlineStr">
        <is>
          <t>04:10</t>
        </is>
      </c>
      <c r="E215" s="78" t="inlineStr">
        <is>
          <t>X95 공항버스</t>
        </is>
      </c>
      <c r="F215" s="78" t="inlineStr">
        <is>
          <t>공항 이동</t>
        </is>
      </c>
      <c r="G215" s="78" t="inlineStr">
        <is>
          <t>6.20유로 · 24시간 운행이지만 야간은 60분 간격 · 밤 도로가 비어 60~75분</t>
        </is>
      </c>
    </row>
    <row r="216">
      <c r="A216" s="78" t="inlineStr">
        <is>
          <t>10/3</t>
        </is>
      </c>
      <c r="B216" s="78" t="inlineStr">
        <is>
          <t>토</t>
        </is>
      </c>
      <c r="C216" s="78" t="inlineStr"/>
      <c r="D216" s="78" t="inlineStr">
        <is>
          <t>05:20</t>
        </is>
      </c>
      <c r="E216" s="78" t="inlineStr"/>
      <c r="F216" s="78" t="inlineStr">
        <is>
          <t>공항 도착 · 체크인</t>
        </is>
      </c>
      <c r="G216" s="78" t="inlineStr">
        <is>
          <t>07:20 출발 기준 2시간 전</t>
        </is>
      </c>
    </row>
    <row r="217">
      <c r="A217" s="78" t="inlineStr">
        <is>
          <t>10/3</t>
        </is>
      </c>
      <c r="B217" s="78" t="inlineStr">
        <is>
          <t>토</t>
        </is>
      </c>
      <c r="C217" s="78" t="inlineStr"/>
      <c r="D217" s="78" t="inlineStr"/>
      <c r="E217" s="78" t="inlineStr">
        <is>
          <t>주의</t>
        </is>
      </c>
      <c r="F217" s="78" t="inlineStr">
        <is>
          <t>아크로폴리스는 09:00~10:00 시간대로 예매를 마쳤습니다. 도착이 아무리 밀려도 09:15이라 45분이 남습니다. 이제 이 날 시각에 묶인 항목은 없고, 남은 변수는 숙소가 08:00에 짐을 받아주느냐 하나뿐입니다.</t>
        </is>
      </c>
      <c r="G217" s="78" t="inlineStr"/>
    </row>
    <row r="218">
      <c r="A218" s="78" t="inlineStr">
        <is>
          <t>10/3</t>
        </is>
      </c>
      <c r="B218" s="78" t="inlineStr">
        <is>
          <t>토</t>
        </is>
      </c>
      <c r="C218" s="78" t="inlineStr"/>
      <c r="D218" s="78" t="inlineStr"/>
      <c r="E218" s="78" t="inlineStr">
        <is>
          <t>주의</t>
        </is>
      </c>
      <c r="F218" s="78" t="inlineStr">
        <is>
          <t>숙소는 신타그마 근처가 맞습니다. 아크로폴리스까지 도보 20분이기도 하지만, 진짜 이유는 다음 날 새벽 04:10 X95를 신타그마에서 타기 때문입니다. 코우카키(아크로폴리스 남쪽)가 유적에는 더 가깝지만, 그러면 새벽 3시 반에 혼자 20분을 걸어 신타그마까지 와야 합니다.</t>
        </is>
      </c>
      <c r="G218" s="78" t="inlineStr"/>
    </row>
    <row r="219">
      <c r="A219" s="79" t="inlineStr"/>
      <c r="B219" s="79" t="inlineStr"/>
      <c r="C219" s="79" t="inlineStr">
        <is>
          <t>✈ 이동</t>
        </is>
      </c>
      <c r="D219" s="79" t="inlineStr"/>
      <c r="E219" s="79" t="inlineStr"/>
      <c r="F219" s="79" t="inlineStr">
        <is>
          <t>아테네 07:20 → 아부다비 13:05</t>
        </is>
      </c>
      <c r="G219" s="79" t="inlineStr">
        <is>
          <t>비행 약 4시간 45분 (시차 1시간 포함 소요 5시간 45분).</t>
        </is>
      </c>
    </row>
    <row r="220">
      <c r="A220" s="77" t="inlineStr">
        <is>
          <t>10/4</t>
        </is>
      </c>
      <c r="B220" s="77" t="inlineStr">
        <is>
          <t>일</t>
        </is>
      </c>
      <c r="C220" s="77" t="inlineStr">
        <is>
          <t>아부다비 — 낮 40도+</t>
        </is>
      </c>
      <c r="D220" s="77" t="inlineStr"/>
      <c r="E220" s="77" t="inlineStr"/>
      <c r="F220" s="77" t="inlineStr">
        <is>
          <t>루브르와 그랜드 모스크. 둘이 정반대 방향이라 낮 이동은 택시로 끊고, 다음 날 새벽 공항행만 버스를 씁니다.</t>
        </is>
      </c>
      <c r="G220" s="77" t="inlineStr"/>
    </row>
    <row r="221">
      <c r="A221" s="78" t="inlineStr">
        <is>
          <t>10/4</t>
        </is>
      </c>
      <c r="B221" s="78" t="inlineStr">
        <is>
          <t>일</t>
        </is>
      </c>
      <c r="C221" s="78" t="inlineStr"/>
      <c r="D221" s="78" t="inlineStr">
        <is>
          <t>13:05</t>
        </is>
      </c>
      <c r="E221" s="78" t="inlineStr"/>
      <c r="F221" s="78" t="inlineStr">
        <is>
          <t>자이드 국제공항 터미널 A 도착</t>
        </is>
      </c>
      <c r="G221" s="78" t="inlineStr"/>
    </row>
    <row r="222">
      <c r="A222" s="78" t="inlineStr">
        <is>
          <t>10/4</t>
        </is>
      </c>
      <c r="B222" s="78" t="inlineStr">
        <is>
          <t>일</t>
        </is>
      </c>
      <c r="C222" s="78" t="inlineStr"/>
      <c r="D222" s="78" t="inlineStr">
        <is>
          <t>13:50</t>
        </is>
      </c>
      <c r="E222" s="78" t="inlineStr"/>
      <c r="F222" s="78" t="inlineStr">
        <is>
          <t>입국 수속 · 짐 수령</t>
        </is>
      </c>
      <c r="G222" s="78" t="inlineStr"/>
    </row>
    <row r="223">
      <c r="A223" s="78" t="inlineStr">
        <is>
          <t>10/4</t>
        </is>
      </c>
      <c r="B223" s="78" t="inlineStr">
        <is>
          <t>일</t>
        </is>
      </c>
      <c r="C223" s="78" t="inlineStr"/>
      <c r="D223" s="78" t="inlineStr">
        <is>
          <t>14:00</t>
        </is>
      </c>
      <c r="E223" s="78" t="inlineStr">
        <is>
          <t>택시</t>
        </is>
      </c>
      <c r="F223" s="78" t="inlineStr">
        <is>
          <t>TRYP by Wyndham 이동</t>
        </is>
      </c>
      <c r="G223" s="78" t="inlineStr">
        <is>
          <t>칼리파 bin 자이드 St · 30~40분 · 미터 약 90디르함</t>
        </is>
      </c>
    </row>
    <row r="224">
      <c r="A224" s="78" t="inlineStr">
        <is>
          <t>10/4</t>
        </is>
      </c>
      <c r="B224" s="78" t="inlineStr">
        <is>
          <t>일</t>
        </is>
      </c>
      <c r="C224" s="78" t="inlineStr"/>
      <c r="D224" s="78" t="inlineStr">
        <is>
          <t>14:45</t>
        </is>
      </c>
      <c r="E224" s="78" t="inlineStr"/>
      <c r="F224" s="78" t="inlineStr">
        <is>
          <t>체크인 · 휴식</t>
        </is>
      </c>
      <c r="G224" s="78" t="inlineStr">
        <is>
          <t>한낮이 최고기온대. 실내에서 체력을 아껴둘 것</t>
        </is>
      </c>
    </row>
    <row r="225">
      <c r="A225" s="78" t="inlineStr">
        <is>
          <t>10/4</t>
        </is>
      </c>
      <c r="B225" s="78" t="inlineStr">
        <is>
          <t>일</t>
        </is>
      </c>
      <c r="C225" s="78" t="inlineStr"/>
      <c r="D225" s="78" t="inlineStr">
        <is>
          <t>16:00</t>
        </is>
      </c>
      <c r="E225" s="78" t="inlineStr">
        <is>
          <t>택시</t>
        </is>
      </c>
      <c r="F225" s="78" t="inlineStr">
        <is>
          <t>루브르 아부다비</t>
        </is>
      </c>
      <c r="G225" s="78" t="inlineStr">
        <is>
          <t>사디야트 섬 · 약 14km, 20~25분 · 약 45디르함</t>
        </is>
      </c>
    </row>
    <row r="226">
      <c r="A226" s="78" t="inlineStr">
        <is>
          <t>10/4</t>
        </is>
      </c>
      <c r="B226" s="78" t="inlineStr">
        <is>
          <t>일</t>
        </is>
      </c>
      <c r="C226" s="78" t="inlineStr"/>
      <c r="D226" s="78" t="inlineStr">
        <is>
          <t>16:30</t>
        </is>
      </c>
      <c r="E226" s="78" t="inlineStr"/>
      <c r="F226" s="78" t="inlineStr">
        <is>
          <t>루브르 아부다비</t>
        </is>
      </c>
      <c r="G226" s="78" t="inlineStr">
        <is>
          <t>[63디르함] 일요일 20:30 폐장, 최종 입장 20:00 · 월요일 휴관이라 이 날이 유일한 기회입니다</t>
        </is>
      </c>
    </row>
    <row r="227">
      <c r="A227" s="78" t="inlineStr">
        <is>
          <t>10/4</t>
        </is>
      </c>
      <c r="B227" s="78" t="inlineStr">
        <is>
          <t>일</t>
        </is>
      </c>
      <c r="C227" s="78" t="inlineStr"/>
      <c r="D227" s="78" t="inlineStr">
        <is>
          <t>18:45</t>
        </is>
      </c>
      <c r="E227" s="78" t="inlineStr">
        <is>
          <t>택시</t>
        </is>
      </c>
      <c r="F227" s="78" t="inlineStr">
        <is>
          <t>셰이크 자이드 그랜드 모스크</t>
        </is>
      </c>
      <c r="G227" s="78" t="inlineStr">
        <is>
          <t>섬 반대편까지 횡단 약 28km, 30~35분 · 약 75디르함</t>
        </is>
      </c>
    </row>
    <row r="228">
      <c r="A228" s="78" t="inlineStr">
        <is>
          <t>10/4</t>
        </is>
      </c>
      <c r="B228" s="78" t="inlineStr">
        <is>
          <t>일</t>
        </is>
      </c>
      <c r="C228" s="78" t="inlineStr"/>
      <c r="D228" s="78" t="inlineStr">
        <is>
          <t>19:20</t>
        </is>
      </c>
      <c r="E228" s="78" t="inlineStr"/>
      <c r="F228" s="78" t="inlineStr">
        <is>
          <t>셰이크 자이드 그랜드 모스크</t>
        </is>
      </c>
      <c r="G228" s="78" t="inlineStr">
        <is>
          <t>[무료] 일몰이 18:15이라 도착 시점엔 이미 조명이 켜져 있습니다. 온라인 사전 등록 필요, 어깨와 무릎을 가릴 것</t>
        </is>
      </c>
    </row>
    <row r="229">
      <c r="A229" s="78" t="inlineStr">
        <is>
          <t>10/4</t>
        </is>
      </c>
      <c r="B229" s="78" t="inlineStr">
        <is>
          <t>일</t>
        </is>
      </c>
      <c r="C229" s="78" t="inlineStr"/>
      <c r="D229" s="78" t="inlineStr">
        <is>
          <t>21:00</t>
        </is>
      </c>
      <c r="E229" s="78" t="inlineStr">
        <is>
          <t>택시</t>
        </is>
      </c>
      <c r="F229" s="78" t="inlineStr">
        <is>
          <t>호텔 복귀</t>
        </is>
      </c>
      <c r="G229" s="78" t="inlineStr">
        <is>
          <t>약 14km, 18~20분 · 약 45디르함</t>
        </is>
      </c>
    </row>
    <row r="230">
      <c r="A230" s="78" t="inlineStr">
        <is>
          <t>10/4</t>
        </is>
      </c>
      <c r="B230" s="78" t="inlineStr">
        <is>
          <t>일</t>
        </is>
      </c>
      <c r="C230" s="78" t="inlineStr"/>
      <c r="D230" s="78" t="inlineStr">
        <is>
          <t>21:30</t>
        </is>
      </c>
      <c r="E230" s="78" t="inlineStr"/>
      <c r="F230" s="78" t="inlineStr">
        <is>
          <t>호텔 근처에서 저녁</t>
        </is>
      </c>
      <c r="G230" s="78" t="inlineStr">
        <is>
          <t>칼리파 St 일대. 바로 옆 Day to Day에서 기내 간식과 물도 사둘 것</t>
        </is>
      </c>
    </row>
    <row r="231">
      <c r="A231" s="78" t="inlineStr">
        <is>
          <t>10/4</t>
        </is>
      </c>
      <c r="B231" s="78" t="inlineStr">
        <is>
          <t>일</t>
        </is>
      </c>
      <c r="C231" s="78" t="inlineStr"/>
      <c r="D231" s="78" t="inlineStr">
        <is>
          <t>22:30</t>
        </is>
      </c>
      <c r="E231" s="78" t="inlineStr"/>
      <c r="F231" s="78" t="inlineStr">
        <is>
          <t>취침</t>
        </is>
      </c>
      <c r="G231" s="78" t="inlineStr"/>
    </row>
    <row r="232">
      <c r="A232" s="78" t="inlineStr">
        <is>
          <t>10/4</t>
        </is>
      </c>
      <c r="B232" s="78" t="inlineStr">
        <is>
          <t>일</t>
        </is>
      </c>
      <c r="C232" s="78" t="inlineStr"/>
      <c r="D232" s="78" t="inlineStr">
        <is>
          <t>05:00</t>
        </is>
      </c>
      <c r="E232" s="78" t="inlineStr"/>
      <c r="F232" s="78" t="inlineStr">
        <is>
          <t>기상</t>
        </is>
      </c>
      <c r="G232" s="78" t="inlineStr">
        <is>
          <t>날짜가 10/5로 넘어갑니다</t>
        </is>
      </c>
    </row>
    <row r="233">
      <c r="A233" s="78" t="inlineStr">
        <is>
          <t>10/4</t>
        </is>
      </c>
      <c r="B233" s="78" t="inlineStr">
        <is>
          <t>일</t>
        </is>
      </c>
      <c r="C233" s="78" t="inlineStr"/>
      <c r="D233" s="78" t="inlineStr">
        <is>
          <t>05:30</t>
        </is>
      </c>
      <c r="E233" s="78" t="inlineStr">
        <is>
          <t>A2 공항버스</t>
        </is>
      </c>
      <c r="F233" s="78" t="inlineStr">
        <is>
          <t>자이드 국제공항</t>
        </is>
      </c>
      <c r="G233" s="78" t="inlineStr">
        <is>
          <t>4디르함 + 하필라트 카드 10디르함 · 칼리파 bin 자이드 St 정류장 승차 · 40~45분</t>
        </is>
      </c>
    </row>
    <row r="234">
      <c r="A234" s="78" t="inlineStr">
        <is>
          <t>10/4</t>
        </is>
      </c>
      <c r="B234" s="78" t="inlineStr">
        <is>
          <t>일</t>
        </is>
      </c>
      <c r="C234" s="78" t="inlineStr"/>
      <c r="D234" s="78" t="inlineStr">
        <is>
          <t>06:20</t>
        </is>
      </c>
      <c r="E234" s="78" t="inlineStr"/>
      <c r="F234" s="78" t="inlineStr">
        <is>
          <t>공항 도착 · 체크인</t>
        </is>
      </c>
      <c r="G234" s="78" t="inlineStr">
        <is>
          <t>08:35 출발 기준 2시간 15분 전</t>
        </is>
      </c>
    </row>
    <row r="235">
      <c r="A235" s="78" t="inlineStr">
        <is>
          <t>10/4</t>
        </is>
      </c>
      <c r="B235" s="78" t="inlineStr">
        <is>
          <t>일</t>
        </is>
      </c>
      <c r="C235" s="78" t="inlineStr"/>
      <c r="D235" s="78" t="inlineStr"/>
      <c r="E235" s="78" t="inlineStr">
        <is>
          <t>주의</t>
        </is>
      </c>
      <c r="F235" s="78" t="inlineStr">
        <is>
          <t>루브르를 먼저, 모스크를 나중에 두는 순서가 중요합니다. 낮 40도를 실내인 루브르에서 흘려보내고, 해가 진 뒤 조명이 켜진 모스크를 보는 배치예요. 순서를 바꾸면 한낮 뙤약볕에 야외 모스크를 걷고, 루브르는 폐장에 쫓깁니다.</t>
        </is>
      </c>
      <c r="G235" s="78" t="inlineStr"/>
    </row>
    <row r="236">
      <c r="A236" s="78" t="inlineStr">
        <is>
          <t>10/4</t>
        </is>
      </c>
      <c r="B236" s="78" t="inlineStr">
        <is>
          <t>일</t>
        </is>
      </c>
      <c r="C236" s="78" t="inlineStr"/>
      <c r="D236" s="78" t="inlineStr"/>
      <c r="E236" s="78" t="inlineStr">
        <is>
          <t>주의</t>
        </is>
      </c>
      <c r="F236" s="78" t="inlineStr">
        <is>
          <t>하필라트(Hafilat) 카드를 도착 즉시 사두세요. 아부다비 버스는 현금을 받지 않습니다. 터미널 A 도착층 자판기·매표소에서 카드 10디르함 + 충전 4디르함이면 됩니다. 두바이 Nol 카드는 쓸 수 없어요. 다음 날 새벽 A2를 타려면 전날 밤이 아니라 도착 당일에 사둬야 합니다.</t>
        </is>
      </c>
      <c r="G236" s="78" t="inlineStr"/>
    </row>
    <row r="237">
      <c r="A237" s="78" t="inlineStr">
        <is>
          <t>10/4</t>
        </is>
      </c>
      <c r="B237" s="78" t="inlineStr">
        <is>
          <t>일</t>
        </is>
      </c>
      <c r="C237" s="78" t="inlineStr"/>
      <c r="D237" s="78" t="inlineStr"/>
      <c r="E237" s="78" t="inlineStr">
        <is>
          <t>주의</t>
        </is>
      </c>
      <c r="F237" s="78" t="inlineStr">
        <is>
          <t>A2는 60분 간격입니다. 24시간 운행이라는 자료와 시내→공항 첫차가 05:00이라는 자료가 갈리니, 도착일에 터미널 A 매표소나 DARB 앱에서 새벽 시각표를 확인해두세요. 놓치면 택시(약 90디르함)로 전환하면 되도록 현금·카드를 남겨두면 안전합니다. 05:30보다 더 당기지는 마세요 — 그 이전 편은 보장되지 않습니다.</t>
        </is>
      </c>
      <c r="G237" s="78" t="inlineStr"/>
    </row>
    <row r="238">
      <c r="A238" s="79" t="inlineStr"/>
      <c r="B238" s="79" t="inlineStr"/>
      <c r="C238" s="79" t="inlineStr">
        <is>
          <t>✈ 이동</t>
        </is>
      </c>
      <c r="D238" s="79" t="inlineStr"/>
      <c r="E238" s="79" t="inlineStr"/>
      <c r="F238" s="79" t="inlineStr">
        <is>
          <t>아부다비 08:35 → 인천 22:15</t>
        </is>
      </c>
      <c r="G238" s="79" t="inlineStr">
        <is>
          <t>비행 약 8시간 40분 (시차 5시간 포함 소요 13시간 40분). 마지막 구간에서 몰아 자는 것을 목표로.</t>
        </is>
      </c>
    </row>
  </sheetData>
  <autoFilter ref="A4:G238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7" min="1" max="1"/>
    <col width="14" customWidth="1" style="37" min="2" max="2"/>
    <col width="58" customWidth="1" style="37" min="3" max="3"/>
  </cols>
  <sheetData>
    <row r="1" ht="15.75" customHeight="1" s="38">
      <c r="A1" s="39" t="inlineStr">
        <is>
          <t>환율 및 기본 가정</t>
        </is>
      </c>
    </row>
    <row r="3" ht="15" customHeight="1" s="38">
      <c r="A3" s="40" t="inlineStr">
        <is>
          <t>항목</t>
        </is>
      </c>
      <c r="B3" s="40" t="inlineStr">
        <is>
          <t>값</t>
        </is>
      </c>
      <c r="C3" s="40" t="inlineStr">
        <is>
          <t>비고</t>
        </is>
      </c>
    </row>
    <row r="4" ht="15" customHeight="1" s="38">
      <c r="A4" s="41" t="inlineStr">
        <is>
          <t>조지아 라리 (GEL) → 원</t>
        </is>
      </c>
      <c r="B4" s="42" t="n">
        <v>541</v>
      </c>
      <c r="C4" s="43" t="inlineStr">
        <is>
          <t>2026년 8월 6일 조지아·아르메니아 중앙은행 공시 기준 (USD/KRW 1,420 교차 산출)</t>
        </is>
      </c>
    </row>
    <row r="5" ht="15" customHeight="1" s="38">
      <c r="A5" s="41" t="inlineStr">
        <is>
          <t>아르메니아 드람 (AMD) → 원</t>
        </is>
      </c>
      <c r="B5" s="44" t="n">
        <v>3.88</v>
      </c>
      <c r="C5" s="43" t="inlineStr">
        <is>
          <t>2026년 8월 6일 조지아·아르메니아 중앙은행 공시 기준 (USD/KRW 1,420 교차 산출)</t>
        </is>
      </c>
    </row>
    <row r="6" ht="15" customHeight="1" s="38">
      <c r="A6" s="41" t="inlineStr">
        <is>
          <t>유로 (EUR) → 원</t>
        </is>
      </c>
      <c r="B6" s="42" t="n">
        <v>1640</v>
      </c>
      <c r="C6" s="43" t="inlineStr">
        <is>
          <t>2026년 8월 6일 시장환율 — 아테네 구간</t>
        </is>
      </c>
    </row>
    <row r="7" ht="15" customHeight="1" s="38">
      <c r="A7" s="45" t="inlineStr">
        <is>
          <t>UAE 디르함 (AED) → 원</t>
        </is>
      </c>
      <c r="B7" s="42" t="n">
        <v>387</v>
      </c>
      <c r="C7" s="43" t="inlineStr">
        <is>
          <t>2026년 8월 6일 시장환율 (USD 페그 3.6725) — 아부다비 구간</t>
        </is>
      </c>
    </row>
    <row r="8" ht="15" customHeight="1" s="38">
      <c r="A8" s="41" t="inlineStr">
        <is>
          <t>중국 위안 (CNY) → 원</t>
        </is>
      </c>
      <c r="B8" s="42" t="n">
        <v>211</v>
      </c>
      <c r="C8" s="43" t="inlineStr">
        <is>
          <t>2026년 8월 6일 시장환율 — 상하이 경유 구간</t>
        </is>
      </c>
    </row>
    <row r="9" ht="15" customHeight="1" s="38">
      <c r="A9" s="41" t="inlineStr">
        <is>
          <t>인원</t>
        </is>
      </c>
      <c r="B9" s="46" t="n">
        <v>1</v>
      </c>
      <c r="C9" s="47" t="inlineStr">
        <is>
          <t>1인 여행 — 택시·기사 비용을 나눌 사람이 없어 전액 부담</t>
        </is>
      </c>
    </row>
    <row r="10" ht="15" customHeight="1" s="38">
      <c r="A10" s="41" t="inlineStr">
        <is>
          <t>항공권1 — 김포→상하이 + 푸동→트빌리시 (별도 발권 2편)</t>
        </is>
      </c>
      <c r="B10" s="42" t="n">
        <v>446000</v>
      </c>
      <c r="C10" s="47" t="n"/>
    </row>
    <row r="11" ht="15" customHeight="1" s="38">
      <c r="A11" s="41" t="inlineStr">
        <is>
          <t>항공권2 — 예레반→아테네 (에게안 A3 3899 · XD9TVH)</t>
        </is>
      </c>
      <c r="B11" s="42" t="n">
        <v>303900</v>
      </c>
      <c r="C11" s="47" t="n"/>
    </row>
    <row r="12" ht="15" customHeight="1" s="38">
      <c r="A12" s="41" t="inlineStr">
        <is>
          <t>항공권3 — 아테네→아부다비→인천 (아부다비 1박 포함)</t>
        </is>
      </c>
      <c r="B12" s="42" t="n">
        <v>656700</v>
      </c>
      <c r="C12" s="47" t="n"/>
    </row>
    <row r="13" ht="15" customHeight="1" s="38">
      <c r="A13" s="41" t="inlineStr">
        <is>
          <t>항공권 합계</t>
        </is>
      </c>
      <c r="B13" s="48">
        <f>SUM(B10:B12)</f>
        <v/>
      </c>
      <c r="C13" s="43" t="inlineStr">
        <is>
          <t>3편 모두 결제 완료. 이후 환율 변동은 현지 지출에만 영향</t>
        </is>
      </c>
    </row>
    <row r="14" ht="15" customHeight="1" s="38">
      <c r="A14" s="41" t="inlineStr">
        <is>
          <t>총예산 (1인)</t>
        </is>
      </c>
      <c r="B14" s="42" t="n">
        <v>3000000</v>
      </c>
      <c r="C14" s="47" t="inlineStr">
        <is>
          <t>사용자 제시: 300만원</t>
        </is>
      </c>
    </row>
    <row r="15" ht="15" customHeight="1" s="38"/>
    <row r="16" ht="15" customHeight="1" s="38">
      <c r="A16" s="49" t="inlineStr">
        <is>
          <t>노란 셀만 수정하세요. 나머지 시트는 이 값을 참조해 자동 계산됩니다.</t>
        </is>
      </c>
    </row>
    <row r="17" ht="15" customHeight="1" s="38">
      <c r="A17" s="50" t="inlineStr">
        <is>
          <t>환율은 현지 지출에만 적용됩니다 (항공권은 결제 완료로 원화 확정). 전 통화 2026년 8월 6일 기준 — 출발 직전에 한 번 더 갱신하세요.</t>
        </is>
      </c>
    </row>
    <row r="18" ht="15" customHeight="1" s="38">
      <c r="A18" s="49" t="inlineStr">
        <is>
          <t>여행 직전 실제 환율로 한 번 더 갱신하는 것을 권장합니다 — 환율은 매일 바뀝니다.</t>
        </is>
      </c>
    </row>
    <row r="19"/>
    <row r="20"/>
    <row r="21"/>
    <row r="22"/>
    <row r="23"/>
    <row r="24"/>
    <row r="25"/>
    <row r="26"/>
    <row r="2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2" customWidth="1" style="37" min="2" max="2"/>
    <col width="24" customWidth="1" style="37" min="3" max="3"/>
    <col width="8" customWidth="1" style="37" min="4" max="4"/>
    <col width="12" customWidth="1" style="37" min="5" max="5"/>
    <col width="8" customWidth="1" style="37" min="6" max="6"/>
    <col width="12" customWidth="1" style="37" min="7" max="7"/>
    <col width="11" customWidth="1" style="37" min="8" max="8"/>
    <col width="42" customWidth="1" style="37" min="9" max="9"/>
  </cols>
  <sheetData>
    <row r="1" ht="15.75" customHeight="1" s="38">
      <c r="A1" s="39" t="inlineStr">
        <is>
          <t>구간별 교통 — 대중교통 우선</t>
        </is>
      </c>
    </row>
    <row r="2" ht="15" customHeight="1" s="38">
      <c r="A2" s="49" t="inlineStr">
        <is>
          <t>‘대중교통’ 열이 ○ 이면 마르슈르트카·버스·지하철로 갈 수 있는 구간, △ 는 부분적, ✕ 는 택시가 사실상 필수인 구간입니다. 택시 요금은 환율 시트의 인원(현재 1명)으로 나눈 1인 부담액입니다.</t>
        </is>
      </c>
    </row>
    <row r="4" ht="15" customHeight="1" s="38">
      <c r="A4" s="51" t="inlineStr">
        <is>
          <t>날짜</t>
        </is>
      </c>
      <c r="B4" s="51" t="inlineStr">
        <is>
          <t>구간</t>
        </is>
      </c>
      <c r="C4" s="51" t="inlineStr">
        <is>
          <t>수단</t>
        </is>
      </c>
      <c r="D4" s="51" t="inlineStr">
        <is>
          <t>구분</t>
        </is>
      </c>
      <c r="E4" s="51" t="inlineStr">
        <is>
          <t>현지 금액</t>
        </is>
      </c>
      <c r="F4" s="51" t="inlineStr">
        <is>
          <t>통화</t>
        </is>
      </c>
      <c r="G4" s="52" t="inlineStr">
        <is>
          <t>1인 원화</t>
        </is>
      </c>
      <c r="H4" s="51" t="inlineStr">
        <is>
          <t>대중교통</t>
        </is>
      </c>
      <c r="I4" s="51" t="inlineStr">
        <is>
          <t>비고</t>
        </is>
      </c>
    </row>
    <row r="5" ht="15" customHeight="1" s="38">
      <c r="A5" s="45" t="inlineStr">
        <is>
          <t>9/19</t>
        </is>
      </c>
      <c r="B5" s="41" t="inlineStr">
        <is>
          <t>훙차오 공항 T1 → 난징둥루</t>
        </is>
      </c>
      <c r="C5" s="41" t="inlineStr">
        <is>
          <t>지하철 10호선</t>
        </is>
      </c>
      <c r="D5" s="53" t="inlineStr">
        <is>
          <t>시내</t>
        </is>
      </c>
      <c r="E5" s="54" t="n">
        <v>5</v>
      </c>
      <c r="F5" s="45" t="inlineStr">
        <is>
          <t>CNY</t>
        </is>
      </c>
      <c r="G5" s="48">
        <f>ROUND(E5*환율!$B$8/1,0)</f>
        <v/>
      </c>
      <c r="H5" s="55" t="inlineStr">
        <is>
          <t>○</t>
        </is>
      </c>
      <c r="I5" s="47" t="inlineStr">
        <is>
          <t>환승 없이 직통, 약 45분</t>
        </is>
      </c>
    </row>
    <row r="6" ht="15" customHeight="1" s="38">
      <c r="A6" s="45" t="inlineStr">
        <is>
          <t>9/19</t>
        </is>
      </c>
      <c r="B6" s="41" t="inlineStr">
        <is>
          <t>상하이 시내 이동 (예원·와이탄)</t>
        </is>
      </c>
      <c r="C6" s="41" t="inlineStr">
        <is>
          <t>지하철 10호선 · 도보</t>
        </is>
      </c>
      <c r="D6" s="53" t="inlineStr">
        <is>
          <t>시내</t>
        </is>
      </c>
      <c r="E6" s="54" t="n">
        <v>8</v>
      </c>
      <c r="F6" s="45" t="inlineStr">
        <is>
          <t>CNY</t>
        </is>
      </c>
      <c r="G6" s="48">
        <f>ROUND(E6*환율!$B$8/1,0)</f>
        <v/>
      </c>
      <c r="H6" s="55" t="inlineStr">
        <is>
          <t>○</t>
        </is>
      </c>
      <c r="I6" s="43" t="inlineStr">
        <is>
          <t>1회 3~4위안. 대부분 도보권</t>
        </is>
      </c>
    </row>
    <row r="7" ht="15" customHeight="1" s="38">
      <c r="A7" s="45" t="inlineStr">
        <is>
          <t>9/20</t>
        </is>
      </c>
      <c r="B7" s="41" t="inlineStr">
        <is>
          <t>시내 → 푸동 국제공항</t>
        </is>
      </c>
      <c r="C7" s="41" t="inlineStr">
        <is>
          <t>지하철 2호선</t>
        </is>
      </c>
      <c r="D7" s="53" t="inlineStr">
        <is>
          <t>시내</t>
        </is>
      </c>
      <c r="E7" s="54" t="n">
        <v>8</v>
      </c>
      <c r="F7" s="45" t="inlineStr">
        <is>
          <t>CNY</t>
        </is>
      </c>
      <c r="G7" s="48">
        <f>ROUND(E7*환율!$B$8/1,0)</f>
        <v/>
      </c>
      <c r="H7" s="55" t="inlineStr">
        <is>
          <t>○</t>
        </is>
      </c>
      <c r="I7" s="47" t="inlineStr">
        <is>
          <t>광란루역에서 열차 갈아탐, 1시간 15분</t>
        </is>
      </c>
    </row>
    <row r="8" ht="15" customHeight="1" s="38">
      <c r="A8" s="45" t="inlineStr">
        <is>
          <t>9/20</t>
        </is>
      </c>
      <c r="B8" s="41" t="inlineStr">
        <is>
          <t>공항 → 트빌리시 시내</t>
        </is>
      </c>
      <c r="C8" s="41" t="inlineStr">
        <is>
          <t>버스 37번</t>
        </is>
      </c>
      <c r="D8" s="53" t="inlineStr">
        <is>
          <t>시내</t>
        </is>
      </c>
      <c r="E8" s="54" t="n">
        <v>1</v>
      </c>
      <c r="F8" s="45" t="inlineStr">
        <is>
          <t>GEL</t>
        </is>
      </c>
      <c r="G8" s="48">
        <f>ROUND(E8*환율!$B$4/1,0)</f>
        <v/>
      </c>
      <c r="H8" s="55" t="inlineStr">
        <is>
          <t>○</t>
        </is>
      </c>
      <c r="I8" s="43" t="inlineStr">
        <is>
          <t>24시간 운행</t>
        </is>
      </c>
    </row>
    <row r="9" ht="15" customHeight="1" s="38">
      <c r="A9" s="45" t="inlineStr">
        <is>
          <t>10/3</t>
        </is>
      </c>
      <c r="B9" s="41" t="inlineStr">
        <is>
          <t>예레반 → 즈바르트노츠 공항</t>
        </is>
      </c>
      <c r="C9" s="41" t="inlineStr">
        <is>
          <t>택시</t>
        </is>
      </c>
      <c r="D9" s="53" t="inlineStr">
        <is>
          <t>시내</t>
        </is>
      </c>
      <c r="E9" s="54" t="n">
        <v>4000</v>
      </c>
      <c r="F9" s="45" t="inlineStr">
        <is>
          <t>AMD</t>
        </is>
      </c>
      <c r="G9" s="48">
        <f>ROUND(E9*환율!$B$5/1,0)</f>
        <v/>
      </c>
      <c r="H9" s="55" t="inlineStr">
        <is>
          <t>△</t>
        </is>
      </c>
      <c r="I9" s="43" t="inlineStr">
        <is>
          <t>01:30경 출발, 심야 할증 감안</t>
        </is>
      </c>
    </row>
    <row r="10" ht="15" customHeight="1" s="38">
      <c r="A10" s="45" t="inlineStr">
        <is>
          <t>10/3</t>
        </is>
      </c>
      <c r="B10" s="41" t="inlineStr">
        <is>
          <t>아테네 공항 → 신타그마역</t>
        </is>
      </c>
      <c r="C10" s="41" t="inlineStr">
        <is>
          <t>메트로 3호선</t>
        </is>
      </c>
      <c r="D10" s="53" t="inlineStr">
        <is>
          <t>시내</t>
        </is>
      </c>
      <c r="E10" s="54" t="n">
        <v>10</v>
      </c>
      <c r="F10" s="45" t="inlineStr">
        <is>
          <t>EUR</t>
        </is>
      </c>
      <c r="G10" s="48">
        <f>ROUND(E10*환율!$B$6/1,0)</f>
        <v/>
      </c>
      <c r="H10" s="55" t="inlineStr">
        <is>
          <t>○</t>
        </is>
      </c>
      <c r="I10" s="43" t="inlineStr">
        <is>
          <t>공항선 정액 10유로, 40분</t>
        </is>
      </c>
    </row>
    <row r="11" ht="15" customHeight="1" s="38">
      <c r="A11" s="45" t="inlineStr">
        <is>
          <t>10/3</t>
        </is>
      </c>
      <c r="B11" s="41" t="inlineStr">
        <is>
          <t>아테네 시내 이동</t>
        </is>
      </c>
      <c r="C11" s="41" t="inlineStr">
        <is>
          <t>메트로·트램 4~5회</t>
        </is>
      </c>
      <c r="D11" s="53" t="inlineStr">
        <is>
          <t>시내</t>
        </is>
      </c>
      <c r="E11" s="54" t="n">
        <v>6</v>
      </c>
      <c r="F11" s="45" t="inlineStr">
        <is>
          <t>EUR</t>
        </is>
      </c>
      <c r="G11" s="48">
        <f>ROUND(E11*환율!$B$6/1,0)</f>
        <v/>
      </c>
      <c r="H11" s="55" t="inlineStr">
        <is>
          <t>○</t>
        </is>
      </c>
      <c r="I11" s="47" t="inlineStr">
        <is>
          <t>1회 1.20유로. 대부분 도보권이라 보조 수단</t>
        </is>
      </c>
    </row>
    <row r="12" ht="15" customHeight="1" s="38">
      <c r="A12" s="45" t="inlineStr">
        <is>
          <t>10/4</t>
        </is>
      </c>
      <c r="B12" s="41" t="inlineStr">
        <is>
          <t>아테네 → 공항 (04:10 출발)</t>
        </is>
      </c>
      <c r="C12" s="41" t="inlineStr">
        <is>
          <t>X95 공항버스</t>
        </is>
      </c>
      <c r="D12" s="53" t="inlineStr">
        <is>
          <t>시내</t>
        </is>
      </c>
      <c r="E12" s="54" t="n">
        <v>6.2</v>
      </c>
      <c r="F12" s="45" t="inlineStr">
        <is>
          <t>EUR</t>
        </is>
      </c>
      <c r="G12" s="48">
        <f>ROUND(E12*환율!$B$6/1,0)</f>
        <v/>
      </c>
      <c r="H12" s="55" t="inlineStr">
        <is>
          <t>○</t>
        </is>
      </c>
      <c r="I12" s="43" t="inlineStr">
        <is>
          <t>신타그마 발 24시간 운행 · 야간 60분 간격이라 03:55까지 정류장 도착 · 승차권은 전날 지하철역에서 미리 구입 · 택시는 심야 정액 55유로</t>
        </is>
      </c>
    </row>
    <row r="13" ht="15" customHeight="1" s="38">
      <c r="A13" s="45" t="inlineStr">
        <is>
          <t>10/4</t>
        </is>
      </c>
      <c r="B13" s="41" t="inlineStr">
        <is>
          <t>자이드 국제공항 → TRYP 호텔</t>
        </is>
      </c>
      <c r="C13" s="41" t="inlineStr">
        <is>
          <t>택시</t>
        </is>
      </c>
      <c r="D13" s="53" t="inlineStr">
        <is>
          <t>시내</t>
        </is>
      </c>
      <c r="E13" s="54" t="n">
        <v>90</v>
      </c>
      <c r="F13" s="45" t="inlineStr">
        <is>
          <t>AED</t>
        </is>
      </c>
      <c r="G13" s="48">
        <f>ROUND(E13*환율!$B$7/1,0)</f>
        <v/>
      </c>
      <c r="H13" s="55" t="inlineStr">
        <is>
          <t>✕</t>
        </is>
      </c>
      <c r="I13" s="43" t="inlineStr">
        <is>
          <t>칼리파 bin 자이드 St · 30~40분 · 미터 약 85~100디르함</t>
        </is>
      </c>
    </row>
    <row r="14" ht="15" customHeight="1" s="38">
      <c r="A14" s="45" t="inlineStr">
        <is>
          <t>10/4</t>
        </is>
      </c>
      <c r="B14" s="41" t="inlineStr">
        <is>
          <t>TRYP 호텔 → 루브르 아부다비</t>
        </is>
      </c>
      <c r="C14" s="41" t="inlineStr">
        <is>
          <t>택시</t>
        </is>
      </c>
      <c r="D14" s="53" t="inlineStr">
        <is>
          <t>시내</t>
        </is>
      </c>
      <c r="E14" s="54" t="n">
        <v>45</v>
      </c>
      <c r="F14" s="45" t="inlineStr">
        <is>
          <t>AED</t>
        </is>
      </c>
      <c r="G14" s="48">
        <f>ROUND(E14*환율!$B$7/1,0)</f>
        <v/>
      </c>
      <c r="H14" s="55" t="inlineStr">
        <is>
          <t>✕</t>
        </is>
      </c>
      <c r="I14" s="47" t="inlineStr">
        <is>
          <t>사디야트 섬 · 약 14km, 20~25분</t>
        </is>
      </c>
    </row>
    <row r="15" ht="15" customHeight="1" s="38">
      <c r="A15" s="45" t="inlineStr">
        <is>
          <t>10/4</t>
        </is>
      </c>
      <c r="B15" s="41" t="inlineStr">
        <is>
          <t>루브르 → 셰이크 자이드 모스크</t>
        </is>
      </c>
      <c r="C15" s="41" t="inlineStr">
        <is>
          <t>택시</t>
        </is>
      </c>
      <c r="D15" s="53" t="inlineStr">
        <is>
          <t>시내</t>
        </is>
      </c>
      <c r="E15" s="54" t="n">
        <v>75</v>
      </c>
      <c r="F15" s="45" t="inlineStr">
        <is>
          <t>AED</t>
        </is>
      </c>
      <c r="G15" s="48">
        <f>ROUND(E15*환율!$B$7/1,0)</f>
        <v/>
      </c>
      <c r="H15" s="55" t="inlineStr">
        <is>
          <t>✕</t>
        </is>
      </c>
      <c r="I15" s="47" t="inlineStr">
        <is>
          <t>섬 반대편 횡단 약 28km, 30~35분 · 94번 버스면 2디르함이나 60~75분</t>
        </is>
      </c>
    </row>
    <row r="16" ht="15" customHeight="1" s="38">
      <c r="A16" s="45" t="inlineStr">
        <is>
          <t>10/4</t>
        </is>
      </c>
      <c r="B16" s="41" t="inlineStr">
        <is>
          <t>모스크 → TRYP 호텔</t>
        </is>
      </c>
      <c r="C16" s="41" t="inlineStr">
        <is>
          <t>택시</t>
        </is>
      </c>
      <c r="D16" s="53" t="inlineStr">
        <is>
          <t>시내</t>
        </is>
      </c>
      <c r="E16" s="54" t="n">
        <v>45</v>
      </c>
      <c r="F16" s="45" t="inlineStr">
        <is>
          <t>AED</t>
        </is>
      </c>
      <c r="G16" s="48">
        <f>ROUND(E16*환율!$B$7/1,0)</f>
        <v/>
      </c>
      <c r="H16" s="55" t="inlineStr">
        <is>
          <t>✕</t>
        </is>
      </c>
      <c r="I16" s="47" t="inlineStr">
        <is>
          <t>약 14km, 18~20분</t>
        </is>
      </c>
    </row>
    <row r="17" ht="15" customHeight="1" s="38">
      <c r="A17" s="45" t="inlineStr">
        <is>
          <t>10/5</t>
        </is>
      </c>
      <c r="B17" s="41" t="inlineStr">
        <is>
          <t>TRYP 호텔 → 공항 (05:30)</t>
        </is>
      </c>
      <c r="C17" s="45" t="inlineStr">
        <is>
          <t>A2 공항버스</t>
        </is>
      </c>
      <c r="D17" s="53" t="inlineStr">
        <is>
          <t>시내</t>
        </is>
      </c>
      <c r="E17" s="54" t="n">
        <v>14</v>
      </c>
      <c r="F17" s="45" t="inlineStr">
        <is>
          <t>AED</t>
        </is>
      </c>
      <c r="G17" s="48">
        <f>ROUND(E17*환율!$B$7/1,0)</f>
        <v/>
      </c>
      <c r="H17" s="55" t="inlineStr">
        <is>
          <t>○</t>
        </is>
      </c>
      <c r="I17" s="47" t="inlineStr">
        <is>
          <t>버스 4디르함 + 하필라트 카드 10디르함 · 칼리파 bin 자이드 St 승차 · 40~45분</t>
        </is>
      </c>
    </row>
    <row r="18" ht="15" customHeight="1" s="38">
      <c r="A18" s="45" t="inlineStr">
        <is>
          <t>9/21</t>
        </is>
      </c>
      <c r="B18" s="41" t="inlineStr">
        <is>
          <t>트빌리시 시내</t>
        </is>
      </c>
      <c r="C18" s="41" t="inlineStr">
        <is>
          <t>지하철·버스 (메트로머니)</t>
        </is>
      </c>
      <c r="D18" s="53" t="inlineStr">
        <is>
          <t>시내</t>
        </is>
      </c>
      <c r="E18" s="54" t="n">
        <v>4</v>
      </c>
      <c r="F18" s="45" t="inlineStr">
        <is>
          <t>GEL</t>
        </is>
      </c>
      <c r="G18" s="48">
        <f>ROUND(E18*환율!$B$4/1,0)</f>
        <v/>
      </c>
      <c r="H18" s="55" t="inlineStr">
        <is>
          <t>○</t>
        </is>
      </c>
      <c r="I18" s="47" t="inlineStr">
        <is>
          <t>1회 1라리, 90분 내 환승 무료</t>
        </is>
      </c>
    </row>
    <row r="19" ht="15" customHeight="1" s="38">
      <c r="A19" s="45" t="inlineStr">
        <is>
          <t>9/21</t>
        </is>
      </c>
      <c r="B19" s="41" t="inlineStr">
        <is>
          <t>리케 공원 → 나리칼라 케이블카</t>
        </is>
      </c>
      <c r="C19" s="41" t="inlineStr">
        <is>
          <t>케이블카 (편도)</t>
        </is>
      </c>
      <c r="D19" s="53" t="inlineStr">
        <is>
          <t>시내</t>
        </is>
      </c>
      <c r="E19" s="54" t="n">
        <v>2.5</v>
      </c>
      <c r="F19" s="45" t="inlineStr">
        <is>
          <t>GEL</t>
        </is>
      </c>
      <c r="G19" s="48">
        <f>ROUND(E19*환율!$B$4/1,0)</f>
        <v/>
      </c>
      <c r="H19" s="55" t="inlineStr">
        <is>
          <t>○</t>
        </is>
      </c>
      <c r="I19" s="47" t="inlineStr">
        <is>
          <t>내려올 때는 능선을 걸어서 하산 — 편도만 탑니다</t>
        </is>
      </c>
    </row>
    <row r="20" ht="15" customHeight="1" s="38">
      <c r="A20" s="45" t="inlineStr">
        <is>
          <t>9/22</t>
        </is>
      </c>
      <c r="B20" s="41" t="inlineStr">
        <is>
          <t>디두베 → 므츠헤타 왕복</t>
        </is>
      </c>
      <c r="C20" s="41" t="inlineStr">
        <is>
          <t>마르슈르트카</t>
        </is>
      </c>
      <c r="D20" s="53" t="inlineStr">
        <is>
          <t>시외</t>
        </is>
      </c>
      <c r="E20" s="54" t="n">
        <v>3</v>
      </c>
      <c r="F20" s="45" t="inlineStr">
        <is>
          <t>GEL</t>
        </is>
      </c>
      <c r="G20" s="48">
        <f>ROUND(E20*환율!$B$4/1,0)</f>
        <v/>
      </c>
      <c r="H20" s="55" t="inlineStr">
        <is>
          <t>○</t>
        </is>
      </c>
      <c r="I20" s="47" t="inlineStr">
        <is>
          <t>20분 간격, 30분 소요</t>
        </is>
      </c>
    </row>
    <row r="21" ht="15" customHeight="1" s="38">
      <c r="A21" s="45" t="inlineStr">
        <is>
          <t>9/22</t>
        </is>
      </c>
      <c r="B21" s="41" t="inlineStr">
        <is>
          <t>므츠헤타 → 즈바리 수도원 왕복</t>
        </is>
      </c>
      <c r="C21" s="41" t="inlineStr">
        <is>
          <t>택시 (대기 포함)</t>
        </is>
      </c>
      <c r="D21" s="53" t="inlineStr">
        <is>
          <t>시내</t>
        </is>
      </c>
      <c r="E21" s="54" t="n">
        <v>25</v>
      </c>
      <c r="F21" s="45" t="inlineStr">
        <is>
          <t>GEL</t>
        </is>
      </c>
      <c r="G21" s="48">
        <f>ROUND(E21*환율!$B$4/1,0)</f>
        <v/>
      </c>
      <c r="H21" s="55" t="inlineStr">
        <is>
          <t>✕</t>
        </is>
      </c>
      <c r="I21" s="47" t="inlineStr">
        <is>
          <t>대중교통 없음 · 1인 단독이라 전액 부담</t>
        </is>
      </c>
    </row>
    <row r="22" ht="15" customHeight="1" s="38">
      <c r="A22" s="45" t="inlineStr">
        <is>
          <t>9/22</t>
        </is>
      </c>
      <c r="B22" s="41" t="inlineStr">
        <is>
          <t>트빌리시 시내 (국립박물관·벼룩시장)</t>
        </is>
      </c>
      <c r="C22" s="41" t="inlineStr">
        <is>
          <t>지하철·도보</t>
        </is>
      </c>
      <c r="D22" s="53" t="inlineStr">
        <is>
          <t>시내</t>
        </is>
      </c>
      <c r="E22" s="54" t="n">
        <v>2</v>
      </c>
      <c r="F22" s="45" t="inlineStr">
        <is>
          <t>GEL</t>
        </is>
      </c>
      <c r="G22" s="48">
        <f>ROUND(E22*환율!$B$4/1,0)</f>
        <v/>
      </c>
      <c r="H22" s="55" t="inlineStr">
        <is>
          <t>○</t>
        </is>
      </c>
      <c r="I22" s="47" t="inlineStr">
        <is>
          <t>오후 시내 이동</t>
        </is>
      </c>
    </row>
    <row r="23" ht="15" customHeight="1" s="38">
      <c r="A23" s="45" t="inlineStr">
        <is>
          <t>9/23</t>
        </is>
      </c>
      <c r="B23" s="41" t="inlineStr">
        <is>
          <t>시내 → 디두베 터미널</t>
        </is>
      </c>
      <c r="C23" s="41" t="inlineStr">
        <is>
          <t>지하철</t>
        </is>
      </c>
      <c r="D23" s="53" t="inlineStr">
        <is>
          <t>시내</t>
        </is>
      </c>
      <c r="E23" s="54" t="n">
        <v>1</v>
      </c>
      <c r="F23" s="45" t="inlineStr">
        <is>
          <t>GEL</t>
        </is>
      </c>
      <c r="G23" s="48">
        <f>ROUND(E23*환율!$B$4/1,0)</f>
        <v/>
      </c>
      <c r="H23" s="55" t="inlineStr">
        <is>
          <t>○</t>
        </is>
      </c>
      <c r="I23" s="43" t="inlineStr">
        <is>
          <t>06:40 도착 목표</t>
        </is>
      </c>
    </row>
    <row r="24" ht="15" customHeight="1" s="38">
      <c r="A24" s="45" t="inlineStr">
        <is>
          <t>9/23</t>
        </is>
      </c>
      <c r="B24" s="41" t="inlineStr">
        <is>
          <t>디두베 → 스테판츠민다</t>
        </is>
      </c>
      <c r="C24" s="41" t="inlineStr">
        <is>
          <t>마르슈르트카</t>
        </is>
      </c>
      <c r="D24" s="53" t="inlineStr">
        <is>
          <t>시외</t>
        </is>
      </c>
      <c r="E24" s="54" t="n">
        <v>15</v>
      </c>
      <c r="F24" s="45" t="inlineStr">
        <is>
          <t>GEL</t>
        </is>
      </c>
      <c r="G24" s="48">
        <f>ROUND(E24*환율!$B$4/1,0)</f>
        <v/>
      </c>
      <c r="H24" s="55" t="inlineStr">
        <is>
          <t>○</t>
        </is>
      </c>
      <c r="I24" s="47" t="inlineStr">
        <is>
          <t>3.5~4시간 · 첫 편(07:00) 탑승 권장</t>
        </is>
      </c>
    </row>
    <row r="25" ht="15" customHeight="1" s="38">
      <c r="A25" s="45" t="inlineStr">
        <is>
          <t>9/23</t>
        </is>
      </c>
      <c r="B25" s="41" t="inlineStr">
        <is>
          <t>스테판츠민다 → 게르게티 교회</t>
        </is>
      </c>
      <c r="C25" s="41" t="inlineStr">
        <is>
          <t>4WD (편도) · 하산은 도보</t>
        </is>
      </c>
      <c r="D25" s="53" t="inlineStr">
        <is>
          <t>시내</t>
        </is>
      </c>
      <c r="E25" s="54" t="n">
        <v>25</v>
      </c>
      <c r="F25" s="45" t="inlineStr">
        <is>
          <t>GEL</t>
        </is>
      </c>
      <c r="G25" s="48">
        <f>ROUND(E25*환율!$B$4/1,0)</f>
        <v/>
      </c>
      <c r="H25" s="55" t="inlineStr">
        <is>
          <t>○</t>
        </is>
      </c>
      <c r="I25" s="47" t="inlineStr">
        <is>
          <t>도착일 오후 1차 시도. 오르막 400m를 대신 올라줍니다</t>
        </is>
      </c>
    </row>
    <row r="26" ht="15" customHeight="1" s="38">
      <c r="A26" s="45" t="inlineStr">
        <is>
          <t>9/24</t>
        </is>
      </c>
      <c r="B26" s="41" t="inlineStr">
        <is>
          <t>스테판츠민다 → 주타 왕복</t>
        </is>
      </c>
      <c r="C26" s="41" t="inlineStr">
        <is>
          <t>4WD 택시 (대기 포함)</t>
        </is>
      </c>
      <c r="D26" s="53" t="inlineStr">
        <is>
          <t>시외</t>
        </is>
      </c>
      <c r="E26" s="54" t="n">
        <v>80</v>
      </c>
      <c r="F26" s="45" t="inlineStr">
        <is>
          <t>GEL</t>
        </is>
      </c>
      <c r="G26" s="48">
        <f>ROUND(E26*환율!$B$4/1,0)</f>
        <v/>
      </c>
      <c r="H26" s="55" t="inlineStr">
        <is>
          <t>✕</t>
        </is>
      </c>
      <c r="I26" s="47" t="inlineStr">
        <is>
          <t>대중교통 없음 · 25km 비포장 · 1인 단독이면 전액. 동행 구하면 40라리</t>
        </is>
      </c>
    </row>
    <row r="27" ht="15" customHeight="1" s="38">
      <c r="A27" s="45" t="inlineStr">
        <is>
          <t>9/25</t>
        </is>
      </c>
      <c r="B27" s="41" t="inlineStr">
        <is>
          <t>스테판츠민다 → 트빌리시</t>
        </is>
      </c>
      <c r="C27" s="41" t="inlineStr">
        <is>
          <t>마르슈르트카</t>
        </is>
      </c>
      <c r="D27" s="53" t="inlineStr">
        <is>
          <t>시외</t>
        </is>
      </c>
      <c r="E27" s="54" t="n">
        <v>15</v>
      </c>
      <c r="F27" s="45" t="inlineStr">
        <is>
          <t>GEL</t>
        </is>
      </c>
      <c r="G27" s="48">
        <f>ROUND(E27*환율!$B$4/1,0)</f>
        <v/>
      </c>
      <c r="H27" s="55" t="inlineStr">
        <is>
          <t>○</t>
        </is>
      </c>
      <c r="I27" s="43" t="inlineStr">
        <is>
          <t>13:30 편 · 3~3.5시간</t>
        </is>
      </c>
    </row>
    <row r="28" ht="15" customHeight="1" s="38">
      <c r="A28" s="45" t="inlineStr">
        <is>
          <t>9/25</t>
        </is>
      </c>
      <c r="B28" s="41" t="inlineStr">
        <is>
          <t>디두베 → 시내</t>
        </is>
      </c>
      <c r="C28" s="41" t="inlineStr">
        <is>
          <t>지하철</t>
        </is>
      </c>
      <c r="D28" s="53" t="inlineStr">
        <is>
          <t>시내</t>
        </is>
      </c>
      <c r="E28" s="54" t="n">
        <v>1</v>
      </c>
      <c r="F28" s="45" t="inlineStr">
        <is>
          <t>GEL</t>
        </is>
      </c>
      <c r="G28" s="48">
        <f>ROUND(E28*환율!$B$4/1,0)</f>
        <v/>
      </c>
      <c r="H28" s="55" t="inlineStr">
        <is>
          <t>○</t>
        </is>
      </c>
      <c r="I28" s="47" t="inlineStr">
        <is>
          <t>체크인</t>
        </is>
      </c>
    </row>
    <row r="29" ht="15" customHeight="1" s="38">
      <c r="A29" s="45" t="inlineStr">
        <is>
          <t>9/26</t>
        </is>
      </c>
      <c r="B29" s="41" t="inlineStr">
        <is>
          <t>트빌리시 → 시그나기 왕복</t>
        </is>
      </c>
      <c r="C29" s="41" t="inlineStr">
        <is>
          <t>마르슈르트카</t>
        </is>
      </c>
      <c r="D29" s="53" t="inlineStr">
        <is>
          <t>시외</t>
        </is>
      </c>
      <c r="E29" s="54" t="n">
        <v>25</v>
      </c>
      <c r="F29" s="45" t="inlineStr">
        <is>
          <t>GEL</t>
        </is>
      </c>
      <c r="G29" s="48">
        <f>ROUND(E29*환율!$B$4/1,0)</f>
        <v/>
      </c>
      <c r="H29" s="55" t="inlineStr">
        <is>
          <t>○</t>
        </is>
      </c>
      <c r="I29" s="43" t="inlineStr">
        <is>
          <t>삼고리 터미널 출발 · 편도 2~2.5시간 · 보드베는 요청하면 하차 · 돌아오는 막차 18~19시</t>
        </is>
      </c>
    </row>
    <row r="30" ht="15" customHeight="1" s="38">
      <c r="A30" s="45" t="inlineStr">
        <is>
          <t>9/26</t>
        </is>
      </c>
      <c r="B30" s="41" t="inlineStr">
        <is>
          <t>트빌리시 시내 (삼고리 왕복)</t>
        </is>
      </c>
      <c r="C30" s="41" t="inlineStr">
        <is>
          <t>지하철</t>
        </is>
      </c>
      <c r="D30" s="53" t="inlineStr">
        <is>
          <t>시내</t>
        </is>
      </c>
      <c r="E30" s="54" t="n">
        <v>2</v>
      </c>
      <c r="F30" s="45" t="inlineStr">
        <is>
          <t>GEL</t>
        </is>
      </c>
      <c r="G30" s="48">
        <f>ROUND(E30*환율!$B$4/1,0)</f>
        <v/>
      </c>
      <c r="H30" s="55" t="inlineStr">
        <is>
          <t>○</t>
        </is>
      </c>
      <c r="I30" s="47" t="inlineStr">
        <is>
          <t>삼고리역</t>
        </is>
      </c>
    </row>
    <row r="31" ht="15" customHeight="1" s="38">
      <c r="A31" s="45" t="inlineStr">
        <is>
          <t>9/27</t>
        </is>
      </c>
      <c r="B31" s="41" t="inlineStr">
        <is>
          <t>시내 → 오르타찰라 터미널</t>
        </is>
      </c>
      <c r="C31" s="41" t="inlineStr">
        <is>
          <t>지하철·도보</t>
        </is>
      </c>
      <c r="D31" s="53" t="inlineStr">
        <is>
          <t>시내</t>
        </is>
      </c>
      <c r="E31" s="54" t="n">
        <v>1</v>
      </c>
      <c r="F31" s="45" t="inlineStr">
        <is>
          <t>GEL</t>
        </is>
      </c>
      <c r="G31" s="48">
        <f>ROUND(E31*환율!$B$4/1,0)</f>
        <v/>
      </c>
      <c r="H31" s="55" t="inlineStr">
        <is>
          <t>○</t>
        </is>
      </c>
      <c r="I31" s="43" t="inlineStr">
        <is>
          <t>07:30 출발</t>
        </is>
      </c>
    </row>
    <row r="32" ht="15" customHeight="1" s="38">
      <c r="A32" s="45" t="inlineStr">
        <is>
          <t>9/27</t>
        </is>
      </c>
      <c r="B32" s="41" t="inlineStr">
        <is>
          <t>오르타찰라 → 알라베르디</t>
        </is>
      </c>
      <c r="C32" s="41" t="inlineStr">
        <is>
          <t>합승택시 (예레반행)</t>
        </is>
      </c>
      <c r="D32" s="53" t="inlineStr">
        <is>
          <t>시외</t>
        </is>
      </c>
      <c r="E32" s="54" t="n">
        <v>40</v>
      </c>
      <c r="F32" s="45" t="inlineStr">
        <is>
          <t>GEL</t>
        </is>
      </c>
      <c r="G32" s="48">
        <f>ROUND(E32*환율!$B$4/1,0)</f>
        <v/>
      </c>
      <c r="H32" s="55" t="inlineStr">
        <is>
          <t>○</t>
        </is>
      </c>
      <c r="I32" s="47" t="inlineStr">
        <is>
          <t>오전 정시편(08:20) 이용 — 대기 불확실성 해소</t>
        </is>
      </c>
    </row>
    <row r="33" ht="15" customHeight="1" s="38">
      <c r="A33" s="45" t="inlineStr">
        <is>
          <t>9/27</t>
        </is>
      </c>
      <c r="B33" s="41" t="inlineStr">
        <is>
          <t>알라베르디 → 하흐파트 왕복</t>
        </is>
      </c>
      <c r="C33" s="41" t="inlineStr">
        <is>
          <t>마르슈르트카</t>
        </is>
      </c>
      <c r="D33" s="53" t="inlineStr">
        <is>
          <t>시외</t>
        </is>
      </c>
      <c r="E33" s="54" t="n">
        <v>400</v>
      </c>
      <c r="F33" s="45" t="inlineStr">
        <is>
          <t>AMD</t>
        </is>
      </c>
      <c r="G33" s="48">
        <f>ROUND(E33*환율!$B$5/1,0)</f>
        <v/>
      </c>
      <c r="H33" s="55" t="inlineStr">
        <is>
          <t>○</t>
        </is>
      </c>
      <c r="I33" s="43" t="inlineStr">
        <is>
          <t>주말 3편(9·13·17시)뿐 — 13시 편 기준</t>
        </is>
      </c>
    </row>
    <row r="34" ht="15" customHeight="1" s="38">
      <c r="A34" s="45" t="inlineStr">
        <is>
          <t>9/27</t>
        </is>
      </c>
      <c r="B34" s="41" t="inlineStr">
        <is>
          <t>알라베르디 → 사나힌 왕복</t>
        </is>
      </c>
      <c r="C34" s="41" t="inlineStr">
        <is>
          <t>3번 버스</t>
        </is>
      </c>
      <c r="D34" s="53" t="inlineStr">
        <is>
          <t>시내</t>
        </is>
      </c>
      <c r="E34" s="54" t="n">
        <v>400</v>
      </c>
      <c r="F34" s="45" t="inlineStr">
        <is>
          <t>AMD</t>
        </is>
      </c>
      <c r="G34" s="48">
        <f>ROUND(E34*환율!$B$5/1,0)</f>
        <v/>
      </c>
      <c r="H34" s="55" t="inlineStr">
        <is>
          <t>○</t>
        </is>
      </c>
      <c r="I34" s="47" t="inlineStr">
        <is>
          <t>왕복 400드람 · 택시로 하흐파트와 묶으면 6,000드람 안팎</t>
        </is>
      </c>
    </row>
    <row r="35" ht="15" customHeight="1" s="38">
      <c r="A35" s="45" t="inlineStr">
        <is>
          <t>9/28</t>
        </is>
      </c>
      <c r="B35" s="41" t="inlineStr">
        <is>
          <t>알라베르디 → 바나조르</t>
        </is>
      </c>
      <c r="C35" s="41" t="inlineStr">
        <is>
          <t>마르슈르트카</t>
        </is>
      </c>
      <c r="D35" s="53" t="inlineStr">
        <is>
          <t>시외</t>
        </is>
      </c>
      <c r="E35" s="54" t="n">
        <v>500</v>
      </c>
      <c r="F35" s="45" t="inlineStr">
        <is>
          <t>AMD</t>
        </is>
      </c>
      <c r="G35" s="48">
        <f>ROUND(E35*환율!$B$5/1,0)</f>
        <v/>
      </c>
      <c r="H35" s="55" t="inlineStr">
        <is>
          <t>○</t>
        </is>
      </c>
      <c r="I35" s="43" t="inlineStr">
        <is>
          <t>1시간 · 09:00·10:30·11:00·13:00 네 편</t>
        </is>
      </c>
    </row>
    <row r="36" ht="15" customHeight="1" s="38">
      <c r="A36" s="45" t="inlineStr">
        <is>
          <t>9/28</t>
        </is>
      </c>
      <c r="B36" s="41" t="inlineStr">
        <is>
          <t>바나조르 → 딜리잔</t>
        </is>
      </c>
      <c r="C36" s="41" t="inlineStr">
        <is>
          <t>마르슈르트카</t>
        </is>
      </c>
      <c r="D36" s="53" t="inlineStr">
        <is>
          <t>시외</t>
        </is>
      </c>
      <c r="E36" s="54" t="n">
        <v>800</v>
      </c>
      <c r="F36" s="45" t="inlineStr">
        <is>
          <t>AMD</t>
        </is>
      </c>
      <c r="G36" s="48">
        <f>ROUND(E36*환율!$B$5/1,0)</f>
        <v/>
      </c>
      <c r="H36" s="55" t="inlineStr">
        <is>
          <t>○</t>
        </is>
      </c>
      <c r="I36" s="47" t="inlineStr">
        <is>
          <t>40~50분 · 요금·편수는 현지 확인 필요한 추정치. 안 되면 택시 6,000~8,000드람</t>
        </is>
      </c>
    </row>
    <row r="37" ht="15" customHeight="1" s="38">
      <c r="A37" s="45" t="inlineStr">
        <is>
          <t>9/28</t>
        </is>
      </c>
      <c r="B37" s="41" t="inlineStr">
        <is>
          <t>딜리잔 → 하가르친 수도원 왕복</t>
        </is>
      </c>
      <c r="C37" s="41" t="inlineStr">
        <is>
          <t>택시 (대기 포함)</t>
        </is>
      </c>
      <c r="D37" s="53" t="inlineStr">
        <is>
          <t>시내</t>
        </is>
      </c>
      <c r="E37" s="54" t="n">
        <v>6000</v>
      </c>
      <c r="F37" s="45" t="inlineStr">
        <is>
          <t>AMD</t>
        </is>
      </c>
      <c r="G37" s="48">
        <f>ROUND(E37*환율!$B$5/1,0)</f>
        <v/>
      </c>
      <c r="H37" s="55" t="inlineStr">
        <is>
          <t>✕</t>
        </is>
      </c>
      <c r="I37" s="47" t="inlineStr">
        <is>
          <t>숲길 안쪽 8km · 대중교통 없음 · 1인 단독이면 전액</t>
        </is>
      </c>
    </row>
    <row r="38" ht="15" customHeight="1" s="38">
      <c r="A38" s="45" t="inlineStr">
        <is>
          <t>9/29</t>
        </is>
      </c>
      <c r="B38" s="41" t="inlineStr">
        <is>
          <t>딜리잔 → 세반</t>
        </is>
      </c>
      <c r="C38" s="41" t="inlineStr">
        <is>
          <t>마르슈르트카</t>
        </is>
      </c>
      <c r="D38" s="53" t="inlineStr">
        <is>
          <t>시외</t>
        </is>
      </c>
      <c r="E38" s="54" t="n">
        <v>1000</v>
      </c>
      <c r="F38" s="45" t="inlineStr">
        <is>
          <t>AMD</t>
        </is>
      </c>
      <c r="G38" s="48">
        <f>ROUND(E38*환율!$B$5/1,0)</f>
        <v/>
      </c>
      <c r="H38" s="55" t="inlineStr">
        <is>
          <t>○</t>
        </is>
      </c>
      <c r="I38" s="47" t="inlineStr">
        <is>
          <t>1시간 · 딜리잔 터널 경유</t>
        </is>
      </c>
    </row>
    <row r="39" ht="15" customHeight="1" s="38">
      <c r="A39" s="45" t="inlineStr">
        <is>
          <t>9/29</t>
        </is>
      </c>
      <c r="B39" s="41" t="inlineStr">
        <is>
          <t>세반 → 세바나방크 왕복</t>
        </is>
      </c>
      <c r="C39" s="41" t="inlineStr">
        <is>
          <t>택시 또는 도보</t>
        </is>
      </c>
      <c r="D39" s="53" t="inlineStr">
        <is>
          <t>시내</t>
        </is>
      </c>
      <c r="E39" s="54" t="n">
        <v>1000</v>
      </c>
      <c r="F39" s="45" t="inlineStr">
        <is>
          <t>AMD</t>
        </is>
      </c>
      <c r="G39" s="48">
        <f>ROUND(E39*환율!$B$5/1,0)</f>
        <v/>
      </c>
      <c r="H39" s="55" t="inlineStr">
        <is>
          <t>△</t>
        </is>
      </c>
      <c r="I39" s="43" t="inlineStr">
        <is>
          <t>3km · 걸으면 왕복 80분, 0원</t>
        </is>
      </c>
    </row>
    <row r="40" ht="15" customHeight="1" s="38">
      <c r="A40" s="45" t="inlineStr">
        <is>
          <t>9/29</t>
        </is>
      </c>
      <c r="B40" s="41" t="inlineStr">
        <is>
          <t>세반 → 예레반</t>
        </is>
      </c>
      <c r="C40" s="41" t="inlineStr">
        <is>
          <t>마르슈르트카</t>
        </is>
      </c>
      <c r="D40" s="53" t="inlineStr">
        <is>
          <t>시외</t>
        </is>
      </c>
      <c r="E40" s="54" t="n">
        <v>1000</v>
      </c>
      <c r="F40" s="45" t="inlineStr">
        <is>
          <t>AMD</t>
        </is>
      </c>
      <c r="G40" s="48">
        <f>ROUND(E40*환율!$B$5/1,0)</f>
        <v/>
      </c>
      <c r="H40" s="55" t="inlineStr">
        <is>
          <t>○</t>
        </is>
      </c>
      <c r="I40" s="43" t="inlineStr">
        <is>
          <t>1시간 · 수시 출발</t>
        </is>
      </c>
    </row>
    <row r="41" ht="15" customHeight="1" s="38">
      <c r="A41" s="45" t="inlineStr">
        <is>
          <t>9/29</t>
        </is>
      </c>
      <c r="B41" s="41" t="inlineStr">
        <is>
          <t>터미널 → 예레반 시내</t>
        </is>
      </c>
      <c r="C41" s="41" t="inlineStr">
        <is>
          <t>버스</t>
        </is>
      </c>
      <c r="D41" s="53" t="inlineStr">
        <is>
          <t>시내</t>
        </is>
      </c>
      <c r="E41" s="54" t="n">
        <v>200</v>
      </c>
      <c r="F41" s="45" t="inlineStr">
        <is>
          <t>AMD</t>
        </is>
      </c>
      <c r="G41" s="48">
        <f>ROUND(E41*환율!$B$5/1,0)</f>
        <v/>
      </c>
      <c r="H41" s="55" t="inlineStr">
        <is>
          <t>○</t>
        </is>
      </c>
      <c r="I41" s="43" t="inlineStr">
        <is>
          <t>또는 얀덱스 택시</t>
        </is>
      </c>
    </row>
    <row r="42" ht="15" customHeight="1" s="38">
      <c r="A42" s="45" t="inlineStr">
        <is>
          <t>9/30</t>
        </is>
      </c>
      <c r="B42" s="41" t="inlineStr">
        <is>
          <t>예레반 → 코르 비랍 · 노라방크 · 타테브 (왕복)</t>
        </is>
      </c>
      <c r="C42" s="41" t="inlineStr">
        <is>
          <t>1일 그룹투어 (미니버스)</t>
        </is>
      </c>
      <c r="D42" s="53" t="inlineStr">
        <is>
          <t>시외</t>
        </is>
      </c>
      <c r="E42" s="54" t="n">
        <v>25000</v>
      </c>
      <c r="F42" s="45" t="inlineStr">
        <is>
          <t>AMD</t>
        </is>
      </c>
      <c r="G42" s="48">
        <f>ROUND(E42*환율!$B$5/1,0)</f>
        <v/>
      </c>
      <c r="H42" s="55" t="inlineStr">
        <is>
          <t>✕</t>
        </is>
      </c>
      <c r="I42" s="43" t="inlineStr">
        <is>
          <t>Hyur Service 63.72달러 · 입장료·케이블카 포함, 점심 별도 · 08:30~22:30</t>
        </is>
      </c>
    </row>
    <row r="43" ht="15" customHeight="1" s="38">
      <c r="A43" s="45" t="inlineStr">
        <is>
          <t>9/30</t>
        </is>
      </c>
      <c r="B43" s="41" t="inlineStr">
        <is>
          <t>투어 사무실 → 숙소 (심야)</t>
        </is>
      </c>
      <c r="C43" s="41" t="inlineStr">
        <is>
          <t>택시 또는 도보</t>
        </is>
      </c>
      <c r="D43" s="53" t="inlineStr">
        <is>
          <t>시내</t>
        </is>
      </c>
      <c r="E43" s="54" t="n">
        <v>1000</v>
      </c>
      <c r="F43" s="45" t="inlineStr">
        <is>
          <t>AMD</t>
        </is>
      </c>
      <c r="G43" s="48">
        <f>ROUND(E43*환율!$B$5/1,0)</f>
        <v/>
      </c>
      <c r="H43" s="55" t="inlineStr">
        <is>
          <t>△</t>
        </is>
      </c>
      <c r="I43" s="47" t="inlineStr">
        <is>
          <t>22:30 이후 날반댠 96번지 하차 · 도보 10분이면 0원</t>
        </is>
      </c>
    </row>
    <row r="44">
      <c r="A44" s="45" t="inlineStr">
        <is>
          <t>10/1</t>
        </is>
      </c>
      <c r="B44" s="41" t="inlineStr">
        <is>
          <t>예레반 → 가르니 왕복</t>
        </is>
      </c>
      <c r="C44" s="41" t="inlineStr">
        <is>
          <t>266·284번 버스</t>
        </is>
      </c>
      <c r="D44" s="53" t="inlineStr">
        <is>
          <t>시외</t>
        </is>
      </c>
      <c r="E44" s="54" t="n">
        <v>500</v>
      </c>
      <c r="F44" s="45" t="inlineStr">
        <is>
          <t>AMD</t>
        </is>
      </c>
      <c r="G44" s="48">
        <f>ROUND(E44*환율!$B$5/1,0)</f>
        <v/>
      </c>
      <c r="H44" s="55" t="inlineStr">
        <is>
          <t>○</t>
        </is>
      </c>
      <c r="I44" s="47" t="inlineStr">
        <is>
          <t>가이 정류장 출발 · 30분 간격 · 왕복 500드람</t>
        </is>
      </c>
    </row>
    <row r="45">
      <c r="A45" s="45" t="inlineStr">
        <is>
          <t>10/1</t>
        </is>
      </c>
      <c r="B45" s="41" t="inlineStr">
        <is>
          <t>가르니 → 게하르트 왕복</t>
        </is>
      </c>
      <c r="C45" s="41" t="inlineStr">
        <is>
          <t>택시</t>
        </is>
      </c>
      <c r="D45" s="53" t="inlineStr">
        <is>
          <t>시내</t>
        </is>
      </c>
      <c r="E45" s="54" t="n">
        <v>3000</v>
      </c>
      <c r="F45" s="45" t="inlineStr">
        <is>
          <t>AMD</t>
        </is>
      </c>
      <c r="G45" s="48">
        <f>ROUND(E45*환율!$B$5/1,0)</f>
        <v/>
      </c>
      <c r="H45" s="55" t="inlineStr">
        <is>
          <t>✕</t>
        </is>
      </c>
      <c r="I45" s="47" t="inlineStr">
        <is>
          <t>9km, 대중교통 없음 · 1인 단독이라 전액 부담</t>
        </is>
      </c>
    </row>
    <row r="46">
      <c r="A46" s="45" t="inlineStr">
        <is>
          <t>10/2</t>
        </is>
      </c>
      <c r="B46" s="41" t="inlineStr">
        <is>
          <t>예레반 시내 (추모관·시장)</t>
        </is>
      </c>
      <c r="C46" s="41" t="inlineStr">
        <is>
          <t>버스·택시</t>
        </is>
      </c>
      <c r="D46" s="53" t="inlineStr">
        <is>
          <t>시내</t>
        </is>
      </c>
      <c r="E46" s="54" t="n">
        <v>1000</v>
      </c>
      <c r="F46" s="45" t="inlineStr">
        <is>
          <t>AMD</t>
        </is>
      </c>
      <c r="G46" s="48">
        <f>ROUND(E46*환율!$B$5/1,0)</f>
        <v/>
      </c>
      <c r="H46" s="55" t="inlineStr">
        <is>
          <t>○</t>
        </is>
      </c>
      <c r="I46" s="47" t="inlineStr">
        <is>
          <t>대학살 추모관은 시내에서 3km 서쪽</t>
        </is>
      </c>
    </row>
    <row r="47">
      <c r="A47" s="56" t="inlineStr">
        <is>
          <t>교통비 합계</t>
        </is>
      </c>
      <c r="B47" s="57" t="n"/>
      <c r="C47" s="57" t="n"/>
      <c r="D47" s="57" t="n"/>
      <c r="E47" s="57" t="n"/>
      <c r="F47" s="57" t="n"/>
      <c r="G47" s="58">
        <f>SUM(G5:G46)</f>
        <v/>
      </c>
      <c r="H47" s="57" t="n"/>
      <c r="I47" s="57" t="n"/>
    </row>
    <row r="48">
      <c r="A48" s="37" t="n"/>
    </row>
    <row r="49">
      <c r="A49" s="49" t="inlineStr">
        <is>
          <t>아부다비 10/4는 루브르(사디야트, 북쪽)와 모스크(알 마크타, 남쪽)가 정반대 방향이라 전 구간 택시로 잡았습니다. 루브르→모스크만 94번 버스로 바꾸면 75→2디르함이지만 60~75분이 걸립니다.</t>
        </is>
      </c>
    </row>
    <row r="50">
      <c r="A50" s="49" t="inlineStr">
        <is>
          <t>9/28 바나조르→딜리잔 요금(800드람)은 노선 거리에 준한 추정치입니다. 시간표를 확정된 형태로 찾지 못했으니 알라베르디 숙소나 바나조르 터미널에서 확인하세요. 최악의 경우 택시로 넘어가도 6,000~8,000드람이라 하루가 무너지지는 않습니다.</t>
        </is>
      </c>
    </row>
    <row r="51">
      <c r="A51" t="inlineStr">
        <is>
          <t>이번 일정에는 야간버스가 없습니다. 지상 13박이 전부 숙박이라 교통비는 늘고 숙박비도 함께 늘었지만, 운행 취소로 일정이 연쇄로 무너질 구간이 사라졌습니다.</t>
        </is>
      </c>
    </row>
    <row r="52"/>
    <row r="53"/>
    <row r="54"/>
    <row r="55"/>
    <row r="56"/>
    <row r="57"/>
    <row r="58"/>
    <row r="59"/>
    <row r="6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4" customWidth="1" style="37" min="2" max="2"/>
    <col width="12" customWidth="1" style="37" min="3" max="3"/>
    <col width="8" customWidth="1" style="37" min="4" max="4"/>
    <col width="12" customWidth="1" style="37" min="5" max="5"/>
    <col width="40" customWidth="1" style="37" min="6" max="6"/>
  </cols>
  <sheetData>
    <row r="1" ht="15.75" customHeight="1" s="38">
      <c r="A1" s="39" t="inlineStr">
        <is>
          <t>입장료 — 수도원은 대부분 무료</t>
        </is>
      </c>
    </row>
    <row r="3" ht="15" customHeight="1" s="38">
      <c r="A3" s="40" t="inlineStr">
        <is>
          <t>날짜</t>
        </is>
      </c>
      <c r="B3" s="40" t="inlineStr">
        <is>
          <t>장소</t>
        </is>
      </c>
      <c r="C3" s="40" t="inlineStr">
        <is>
          <t>현지 금액</t>
        </is>
      </c>
      <c r="D3" s="40" t="inlineStr">
        <is>
          <t>통화</t>
        </is>
      </c>
      <c r="E3" s="40" t="inlineStr">
        <is>
          <t>원화</t>
        </is>
      </c>
      <c r="F3" s="40" t="inlineStr">
        <is>
          <t>비고</t>
        </is>
      </c>
    </row>
    <row r="4" ht="15" customHeight="1" s="38">
      <c r="A4" s="45" t="inlineStr">
        <is>
          <t>9/19</t>
        </is>
      </c>
      <c r="B4" s="41" t="inlineStr">
        <is>
          <t>예원 (豫园)</t>
        </is>
      </c>
      <c r="C4" s="54" t="n">
        <v>40</v>
      </c>
      <c r="D4" s="45" t="inlineStr">
        <is>
          <t>CNY</t>
        </is>
      </c>
      <c r="E4" s="48">
        <f>ROUND(C4*환율!$B$8,0)</f>
        <v/>
      </c>
      <c r="F4" s="47" t="inlineStr">
        <is>
          <t>09:00~16:30 폐장(매표 마감 더 이름) · 9월은 성수기 요금 40위안</t>
        </is>
      </c>
    </row>
    <row r="5" ht="15" customHeight="1" s="38">
      <c r="A5" s="45" t="inlineStr">
        <is>
          <t>10/3</t>
        </is>
      </c>
      <c r="B5" s="41" t="inlineStr">
        <is>
          <t>아크로폴리스</t>
        </is>
      </c>
      <c r="C5" s="54" t="n">
        <v>30</v>
      </c>
      <c r="D5" s="45" t="inlineStr">
        <is>
          <t>EUR</t>
        </is>
      </c>
      <c r="E5" s="48">
        <f>ROUND(C5*환율!$B$6,0)</f>
        <v/>
      </c>
      <c r="F5" s="47" t="inlineStr">
        <is>
          <t>hhticket.gr 공식 정가 30유로(연중 동일) · 타임드 엔트리 필수 · 60일 전 오픈, 성수기 5~7일 전 매진</t>
        </is>
      </c>
    </row>
    <row r="6" ht="15" customHeight="1" s="38">
      <c r="A6" s="45" t="inlineStr">
        <is>
          <t>10/3</t>
        </is>
      </c>
      <c r="B6" s="41" t="inlineStr">
        <is>
          <t>고대 아고라 · 헤파이스토스 신전</t>
        </is>
      </c>
      <c r="C6" s="54" t="n">
        <v>12</v>
      </c>
      <c r="D6" s="45" t="inlineStr">
        <is>
          <t>EUR</t>
        </is>
      </c>
      <c r="E6" s="48">
        <f>ROUND(C6*환율!$B$6,0)</f>
        <v/>
      </c>
      <c r="F6" s="47" t="inlineStr">
        <is>
          <t>통합권 폐지로 별도 구매 필요 — 현장 확인</t>
        </is>
      </c>
    </row>
    <row r="7" ht="15" customHeight="1" s="38">
      <c r="A7" s="45" t="inlineStr">
        <is>
          <t>10/3</t>
        </is>
      </c>
      <c r="B7" s="41" t="inlineStr">
        <is>
          <t>아크로폴리스 박물관</t>
        </is>
      </c>
      <c r="C7" s="54" t="n">
        <v>20</v>
      </c>
      <c r="D7" s="45" t="inlineStr">
        <is>
          <t>EUR</t>
        </is>
      </c>
      <c r="E7" s="48">
        <f>ROUND(C7*환율!$B$6,0)</f>
        <v/>
      </c>
      <c r="F7" s="47" t="inlineStr">
        <is>
          <t>실제 확인가 (별도 티켓)</t>
        </is>
      </c>
    </row>
    <row r="8" ht="15" customHeight="1" s="38">
      <c r="A8" s="45" t="inlineStr">
        <is>
          <t>10/4</t>
        </is>
      </c>
      <c r="B8" s="41" t="inlineStr">
        <is>
          <t>루브르 아부다비</t>
        </is>
      </c>
      <c r="C8" s="54" t="n">
        <v>63</v>
      </c>
      <c r="D8" s="45" t="inlineStr">
        <is>
          <t>AED</t>
        </is>
      </c>
      <c r="E8" s="48">
        <f>ROUND(C8*환율!$B$7,0)</f>
        <v/>
      </c>
      <c r="F8" s="47" t="inlineStr">
        <is>
          <t>10/4 일요일 10:00~20:30, 최종 입장 20:00 · 월요일 휴관 · 돔은 자정까지</t>
        </is>
      </c>
    </row>
    <row r="9" ht="15" customHeight="1" s="38">
      <c r="A9" s="45" t="inlineStr">
        <is>
          <t>10/4</t>
        </is>
      </c>
      <c r="B9" s="41" t="inlineStr">
        <is>
          <t>셰이크 자이드 그랜드 모스크</t>
        </is>
      </c>
      <c r="C9" s="54" t="n">
        <v>0</v>
      </c>
      <c r="D9" s="45" t="inlineStr">
        <is>
          <t>AED</t>
        </is>
      </c>
      <c r="E9" s="48">
        <f>ROUND(C9*환율!$B$7,0)</f>
        <v/>
      </c>
      <c r="F9" s="47" t="inlineStr">
        <is>
          <t>무료</t>
        </is>
      </c>
    </row>
    <row r="10" ht="15" customHeight="1" s="38">
      <c r="A10" s="45" t="inlineStr">
        <is>
          <t>9/21</t>
        </is>
      </c>
      <c r="B10" s="41" t="inlineStr">
        <is>
          <t>아바노투바니 유황온천 (공용탕)</t>
        </is>
      </c>
      <c r="C10" s="54" t="n">
        <v>5</v>
      </c>
      <c r="D10" s="45" t="inlineStr">
        <is>
          <t>GEL</t>
        </is>
      </c>
      <c r="E10" s="48">
        <f>ROUND(C10*환율!$B$4,0)</f>
        <v/>
      </c>
      <c r="F10" s="47" t="inlineStr">
        <is>
          <t>개인탕은 40~70라리</t>
        </is>
      </c>
    </row>
    <row r="11" ht="15" customHeight="1" s="38">
      <c r="A11" s="45" t="inlineStr">
        <is>
          <t>9/21</t>
        </is>
      </c>
      <c r="B11" s="41" t="inlineStr">
        <is>
          <t>나리칼라 요새</t>
        </is>
      </c>
      <c r="C11" s="54" t="n">
        <v>0</v>
      </c>
      <c r="D11" s="45" t="inlineStr">
        <is>
          <t>GEL</t>
        </is>
      </c>
      <c r="E11" s="48">
        <f>ROUND(C11*환율!$B$4,0)</f>
        <v/>
      </c>
      <c r="F11" s="47" t="inlineStr">
        <is>
          <t>무료 · 상시 개방</t>
        </is>
      </c>
    </row>
    <row r="12" ht="15" customHeight="1" s="38">
      <c r="A12" s="45" t="inlineStr">
        <is>
          <t>9/22</t>
        </is>
      </c>
      <c r="B12" s="41" t="inlineStr">
        <is>
          <t>스베티츠호벨리 대성당</t>
        </is>
      </c>
      <c r="C12" s="54" t="n">
        <v>0</v>
      </c>
      <c r="D12" s="45" t="inlineStr">
        <is>
          <t>GEL</t>
        </is>
      </c>
      <c r="E12" s="48">
        <f>ROUND(C12*환율!$B$4,0)</f>
        <v/>
      </c>
      <c r="F12" s="47" t="inlineStr">
        <is>
          <t>무료</t>
        </is>
      </c>
    </row>
    <row r="13" ht="15" customHeight="1" s="38">
      <c r="A13" s="45" t="inlineStr">
        <is>
          <t>9/22</t>
        </is>
      </c>
      <c r="B13" s="41" t="inlineStr">
        <is>
          <t>즈바리 수도원</t>
        </is>
      </c>
      <c r="C13" s="54" t="n">
        <v>0</v>
      </c>
      <c r="D13" s="45" t="inlineStr">
        <is>
          <t>GEL</t>
        </is>
      </c>
      <c r="E13" s="48">
        <f>ROUND(C13*환율!$B$4,0)</f>
        <v/>
      </c>
      <c r="F13" s="47" t="inlineStr">
        <is>
          <t>무료</t>
        </is>
      </c>
    </row>
    <row r="14" ht="15" customHeight="1" s="38">
      <c r="A14" s="45" t="inlineStr">
        <is>
          <t>9/22</t>
        </is>
      </c>
      <c r="B14" s="41" t="inlineStr">
        <is>
          <t>조지아 국립박물관</t>
        </is>
      </c>
      <c r="C14" s="54" t="n">
        <v>15</v>
      </c>
      <c r="D14" s="45" t="inlineStr">
        <is>
          <t>GEL</t>
        </is>
      </c>
      <c r="E14" s="48">
        <f>ROUND(C14*환율!$B$4,0)</f>
        <v/>
      </c>
      <c r="F14" s="47" t="inlineStr">
        <is>
          <t>화~일 10:00~18:00 · 월요일 휴관</t>
        </is>
      </c>
    </row>
    <row r="15" ht="15" customHeight="1" s="38">
      <c r="A15" s="45" t="inlineStr">
        <is>
          <t>9/23</t>
        </is>
      </c>
      <c r="B15" s="41" t="inlineStr">
        <is>
          <t>게르게티 삼위일체 교회</t>
        </is>
      </c>
      <c r="C15" s="54" t="n">
        <v>0</v>
      </c>
      <c r="D15" s="45" t="inlineStr">
        <is>
          <t>GEL</t>
        </is>
      </c>
      <c r="E15" s="48">
        <f>ROUND(C15*환율!$B$4,0)</f>
        <v/>
      </c>
      <c r="F15" s="47" t="inlineStr">
        <is>
          <t>무료</t>
        </is>
      </c>
    </row>
    <row r="16" ht="15" customHeight="1" s="38">
      <c r="A16" s="45" t="inlineStr">
        <is>
          <t>9/26</t>
        </is>
      </c>
      <c r="B16" s="41" t="inlineStr">
        <is>
          <t>보드베 수도원</t>
        </is>
      </c>
      <c r="C16" s="54" t="n">
        <v>0</v>
      </c>
      <c r="D16" s="45" t="inlineStr">
        <is>
          <t>GEL</t>
        </is>
      </c>
      <c r="E16" s="48">
        <f>ROUND(C16*환율!$B$4,0)</f>
        <v/>
      </c>
      <c r="F16" s="47" t="inlineStr">
        <is>
          <t>무료</t>
        </is>
      </c>
    </row>
    <row r="17" ht="15" customHeight="1" s="38">
      <c r="A17" s="45" t="inlineStr">
        <is>
          <t>9/26</t>
        </is>
      </c>
      <c r="B17" s="41" t="inlineStr">
        <is>
          <t>시그나기 성벽</t>
        </is>
      </c>
      <c r="C17" s="54" t="n">
        <v>0</v>
      </c>
      <c r="D17" s="45" t="inlineStr">
        <is>
          <t>GEL</t>
        </is>
      </c>
      <c r="E17" s="48">
        <f>ROUND(C17*환율!$B$4,0)</f>
        <v/>
      </c>
      <c r="F17" s="47" t="inlineStr">
        <is>
          <t>무료</t>
        </is>
      </c>
    </row>
    <row r="18" ht="15" customHeight="1" s="38">
      <c r="A18" s="45" t="inlineStr">
        <is>
          <t>9/26</t>
        </is>
      </c>
      <c r="B18" s="41" t="inlineStr">
        <is>
          <t>시그나기 와이너리 시음 (선택)</t>
        </is>
      </c>
      <c r="C18" s="54" t="n">
        <v>15</v>
      </c>
      <c r="D18" s="45" t="inlineStr">
        <is>
          <t>GEL</t>
        </is>
      </c>
      <c r="E18" s="48">
        <f>ROUND(C18*환율!$B$4,0)</f>
        <v/>
      </c>
      <c r="F18" s="47" t="inlineStr">
        <is>
          <t>10~25라리 · 안 해도 되는 지출</t>
        </is>
      </c>
    </row>
    <row r="19" ht="15" customHeight="1" s="38">
      <c r="A19" s="45" t="inlineStr">
        <is>
          <t>9/27</t>
        </is>
      </c>
      <c r="B19" s="41" t="inlineStr">
        <is>
          <t>하흐파트 수도원</t>
        </is>
      </c>
      <c r="C19" s="54" t="n">
        <v>0</v>
      </c>
      <c r="D19" s="45" t="inlineStr">
        <is>
          <t>AMD</t>
        </is>
      </c>
      <c r="E19" s="48">
        <f>ROUND(C19*환율!$B$5,0)</f>
        <v/>
      </c>
      <c r="F19" s="47" t="inlineStr">
        <is>
          <t>무료 · 유네스코</t>
        </is>
      </c>
    </row>
    <row r="20" ht="15" customHeight="1" s="38">
      <c r="A20" s="45" t="inlineStr">
        <is>
          <t>9/27</t>
        </is>
      </c>
      <c r="B20" s="41" t="inlineStr">
        <is>
          <t>사나힌 수도원</t>
        </is>
      </c>
      <c r="C20" s="54" t="n">
        <v>0</v>
      </c>
      <c r="D20" s="45" t="inlineStr">
        <is>
          <t>AMD</t>
        </is>
      </c>
      <c r="E20" s="48">
        <f>ROUND(C20*환율!$B$5,0)</f>
        <v/>
      </c>
      <c r="F20" s="47" t="inlineStr">
        <is>
          <t>무료 · 유네스코</t>
        </is>
      </c>
    </row>
    <row r="21" ht="15" customHeight="1" s="38">
      <c r="A21" s="45" t="inlineStr">
        <is>
          <t>9/28</t>
        </is>
      </c>
      <c r="B21" s="41" t="inlineStr">
        <is>
          <t>하가르친 수도원</t>
        </is>
      </c>
      <c r="C21" s="54" t="n">
        <v>0</v>
      </c>
      <c r="D21" s="45" t="inlineStr">
        <is>
          <t>AMD</t>
        </is>
      </c>
      <c r="E21" s="48">
        <f>ROUND(C21*환율!$B$5,0)</f>
        <v/>
      </c>
      <c r="F21" s="47" t="inlineStr">
        <is>
          <t>무료</t>
        </is>
      </c>
    </row>
    <row r="22" ht="15" customHeight="1" s="38">
      <c r="A22" s="45" t="inlineStr">
        <is>
          <t>9/29</t>
        </is>
      </c>
      <c r="B22" s="41" t="inlineStr">
        <is>
          <t>세바나방크</t>
        </is>
      </c>
      <c r="C22" s="54" t="n">
        <v>0</v>
      </c>
      <c r="D22" s="45" t="inlineStr">
        <is>
          <t>AMD</t>
        </is>
      </c>
      <c r="E22" s="48">
        <f>ROUND(C22*환율!$B$5,0)</f>
        <v/>
      </c>
      <c r="F22" s="47" t="inlineStr">
        <is>
          <t>무료 · 계단 200여 개</t>
        </is>
      </c>
    </row>
    <row r="23" ht="15" customHeight="1" s="38">
      <c r="A23" s="45" t="inlineStr">
        <is>
          <t>9/30</t>
        </is>
      </c>
      <c r="B23" s="41" t="inlineStr">
        <is>
          <t>코르 비랍</t>
        </is>
      </c>
      <c r="C23" s="54" t="n">
        <v>0</v>
      </c>
      <c r="D23" s="45" t="inlineStr">
        <is>
          <t>AMD</t>
        </is>
      </c>
      <c r="E23" s="48">
        <f>ROUND(C23*환율!$B$5,0)</f>
        <v/>
      </c>
      <c r="F23" s="47" t="inlineStr">
        <is>
          <t>무료 · 투어 포함</t>
        </is>
      </c>
    </row>
    <row r="24" ht="15" customHeight="1" s="38">
      <c r="A24" s="45" t="inlineStr">
        <is>
          <t>9/30</t>
        </is>
      </c>
      <c r="B24" s="41" t="inlineStr">
        <is>
          <t>노라방크</t>
        </is>
      </c>
      <c r="C24" s="54" t="n">
        <v>0</v>
      </c>
      <c r="D24" s="45" t="inlineStr">
        <is>
          <t>AMD</t>
        </is>
      </c>
      <c r="E24" s="48">
        <f>ROUND(C24*환율!$B$5,0)</f>
        <v/>
      </c>
      <c r="F24" s="47" t="inlineStr">
        <is>
          <t>무료 · 투어 포함</t>
        </is>
      </c>
    </row>
    <row r="25" ht="15" customHeight="1" s="38">
      <c r="A25" s="45" t="inlineStr">
        <is>
          <t>9/30</t>
        </is>
      </c>
      <c r="B25" s="41" t="inlineStr">
        <is>
          <t>윙스 오브 타테브 케이블카</t>
        </is>
      </c>
      <c r="C25" s="54" t="n">
        <v>0</v>
      </c>
      <c r="D25" s="45" t="inlineStr">
        <is>
          <t>AMD</t>
        </is>
      </c>
      <c r="E25" s="48">
        <f>ROUND(C25*환율!$B$5,0)</f>
        <v/>
      </c>
      <c r="F25" s="47" t="inlineStr">
        <is>
          <t>투어 요금에 포함 (개별 구매 시 8,000드람) · 월요일 휴무</t>
        </is>
      </c>
    </row>
    <row r="26" ht="15" customHeight="1" s="38">
      <c r="A26" s="45" t="inlineStr">
        <is>
          <t>9/30</t>
        </is>
      </c>
      <c r="B26" s="41" t="inlineStr">
        <is>
          <t>타테브 수도원</t>
        </is>
      </c>
      <c r="C26" s="54" t="n">
        <v>0</v>
      </c>
      <c r="D26" s="45" t="inlineStr">
        <is>
          <t>AMD</t>
        </is>
      </c>
      <c r="E26" s="48">
        <f>ROUND(C26*환율!$B$5,0)</f>
        <v/>
      </c>
      <c r="F26" s="47" t="inlineStr">
        <is>
          <t>무료</t>
        </is>
      </c>
    </row>
    <row r="27" ht="15" customHeight="1" s="38">
      <c r="A27" s="45" t="inlineStr">
        <is>
          <t>10/1</t>
        </is>
      </c>
      <c r="B27" s="41" t="inlineStr">
        <is>
          <t>가르니 신전</t>
        </is>
      </c>
      <c r="C27" s="54" t="n">
        <v>1800</v>
      </c>
      <c r="D27" s="45" t="inlineStr">
        <is>
          <t>AMD</t>
        </is>
      </c>
      <c r="E27" s="48">
        <f>ROUND(C27*환율!$B$5,0)</f>
        <v/>
      </c>
      <c r="F27" s="47" t="inlineStr">
        <is>
          <t>돌의 교향곡은 무료</t>
        </is>
      </c>
    </row>
    <row r="28" ht="15" customHeight="1" s="38">
      <c r="A28" s="45" t="inlineStr">
        <is>
          <t>10/1</t>
        </is>
      </c>
      <c r="B28" s="41" t="inlineStr">
        <is>
          <t>게하르트 수도원</t>
        </is>
      </c>
      <c r="C28" s="54" t="n">
        <v>0</v>
      </c>
      <c r="D28" s="45" t="inlineStr">
        <is>
          <t>AMD</t>
        </is>
      </c>
      <c r="E28" s="48">
        <f>ROUND(C28*환율!$B$5,0)</f>
        <v/>
      </c>
      <c r="F28" s="47" t="inlineStr">
        <is>
          <t>무료 · 유네스코</t>
        </is>
      </c>
    </row>
    <row r="29">
      <c r="A29" s="45" t="inlineStr">
        <is>
          <t>10/2</t>
        </is>
      </c>
      <c r="B29" s="41" t="inlineStr">
        <is>
          <t>마테나다란 고문서관</t>
        </is>
      </c>
      <c r="C29" s="54" t="n">
        <v>2000</v>
      </c>
      <c r="D29" s="45" t="inlineStr">
        <is>
          <t>AMD</t>
        </is>
      </c>
      <c r="E29" s="48">
        <f>ROUND(C29*환율!$B$5,0)</f>
        <v/>
      </c>
      <c r="F29" s="47" t="inlineStr">
        <is>
          <t>화~토 10:00~17:50 · 금요일 개관</t>
        </is>
      </c>
    </row>
    <row r="30">
      <c r="A30" s="45" t="inlineStr">
        <is>
          <t>10/2</t>
        </is>
      </c>
      <c r="B30" s="41" t="inlineStr">
        <is>
          <t>카페시안 미술관</t>
        </is>
      </c>
      <c r="C30" s="54" t="n">
        <v>0</v>
      </c>
      <c r="D30" s="45" t="inlineStr">
        <is>
          <t>AMD</t>
        </is>
      </c>
      <c r="E30" s="48">
        <f>ROUND(C30*환율!$B$5,0)</f>
        <v/>
      </c>
      <c r="F30" s="47" t="inlineStr">
        <is>
          <t>기부제 · 금~일 20:00까지</t>
        </is>
      </c>
    </row>
    <row r="31">
      <c r="A31" s="45" t="inlineStr">
        <is>
          <t>10/2</t>
        </is>
      </c>
      <c r="B31" s="41" t="inlineStr">
        <is>
          <t>대학살 추모관 박물관</t>
        </is>
      </c>
      <c r="C31" s="54" t="n">
        <v>0</v>
      </c>
      <c r="D31" s="45" t="inlineStr">
        <is>
          <t>AMD</t>
        </is>
      </c>
      <c r="E31" s="48">
        <f>ROUND(C31*환율!$B$5,0)</f>
        <v/>
      </c>
      <c r="F31" s="47" t="inlineStr">
        <is>
          <t>무료 · 17:00 마감 · 월요일 휴관</t>
        </is>
      </c>
    </row>
    <row r="32">
      <c r="A32" s="57" t="n"/>
      <c r="B32" s="56" t="inlineStr">
        <is>
          <t>입장료 합계</t>
        </is>
      </c>
      <c r="C32" s="57" t="n"/>
      <c r="D32" s="57" t="n"/>
      <c r="E32" s="58">
        <f>SUM(E4:E31)</f>
        <v/>
      </c>
      <c r="F32" s="57" t="n"/>
    </row>
    <row r="33"/>
    <row r="34">
      <c r="A34" s="49" t="inlineStr">
        <is>
          <t>조지아·아르메니아 수도원은 대부분 무료입니다. 지출은 타테브 케이블카·아크로폴리스·루브르에 몰려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6" customWidth="1" style="37" min="2" max="2"/>
    <col width="30" customWidth="1" style="37" min="3" max="3"/>
    <col width="13" customWidth="1" style="37" min="4" max="4"/>
    <col width="11" customWidth="1" style="37" min="5" max="6"/>
    <col width="9" customWidth="1" style="37" min="7" max="7"/>
    <col width="12" customWidth="1" style="37" min="8" max="10"/>
    <col width="13" customWidth="1" style="37" min="11" max="11"/>
  </cols>
  <sheetData>
    <row r="1" ht="19.5" customHeight="1" s="38">
      <c r="A1" s="39" t="inlineStr">
        <is>
          <t>일자별 예산 (1인 기준, 원)</t>
        </is>
      </c>
    </row>
    <row r="2" ht="15" customHeight="1" s="38">
      <c r="A2" s="49" t="inlineStr">
        <is>
          <t>1인 단독 여행 기준. 택시·기사 비용은 나눌 사람이 없어 전액 부담으로 계산했습니다. 9/19 상하이 1박은 항공권과 별개인 실제 지출이라 일정에 포함했습니다.</t>
        </is>
      </c>
    </row>
    <row r="4" ht="15" customHeight="1" s="38">
      <c r="A4" s="59" t="inlineStr">
        <is>
          <t>날짜</t>
        </is>
      </c>
      <c r="B4" s="59" t="inlineStr">
        <is>
          <t>요일</t>
        </is>
      </c>
      <c r="C4" s="59" t="inlineStr">
        <is>
          <t>숙박지 / 주요 일정</t>
        </is>
      </c>
      <c r="D4" s="59" t="inlineStr">
        <is>
          <t>관광·입장비</t>
        </is>
      </c>
      <c r="E4" s="59" t="inlineStr">
        <is>
          <t>식비</t>
        </is>
      </c>
      <c r="F4" s="59" t="inlineStr">
        <is>
          <t>숙박비</t>
        </is>
      </c>
      <c r="G4" s="59" t="inlineStr">
        <is>
          <t>카페</t>
        </is>
      </c>
      <c r="H4" s="59" t="inlineStr">
        <is>
          <t>시외교통</t>
        </is>
      </c>
      <c r="I4" s="59" t="inlineStr">
        <is>
          <t>시내교통</t>
        </is>
      </c>
      <c r="J4" s="59" t="inlineStr">
        <is>
          <t>일계</t>
        </is>
      </c>
      <c r="K4" s="59" t="inlineStr">
        <is>
          <t>누계</t>
        </is>
      </c>
    </row>
    <row r="5" ht="15" customHeight="1" s="38">
      <c r="A5" s="60" t="inlineStr">
        <is>
          <t>9/19</t>
        </is>
      </c>
      <c r="B5" s="61" t="inlineStr">
        <is>
          <t>토</t>
        </is>
      </c>
      <c r="C5" s="61" t="inlineStr">
        <is>
          <t>상하이 — 예원·성황묘·와이탄 야경</t>
        </is>
      </c>
      <c r="D5" s="54">
        <f>SUMIF(입장료!$A$4:$A$31,A5,입장료!$E$4:$E$31)</f>
        <v/>
      </c>
      <c r="E5" s="54" t="n">
        <v>25000</v>
      </c>
      <c r="F5" s="62" t="n">
        <v>28907</v>
      </c>
      <c r="G5" s="54" t="n">
        <v>6000</v>
      </c>
      <c r="H5" s="54">
        <f>SUMIFS(교통상세!$G$5:$G$46,교통상세!$A$5:$A$46,A5,교통상세!$D$5:$D$46,"시외")</f>
        <v/>
      </c>
      <c r="I5" s="54">
        <f>SUMIFS(교통상세!$G$5:$G$46,교통상세!$A$5:$A$46,A5,교통상세!$D$5:$D$46,"시내")</f>
        <v/>
      </c>
      <c r="J5" s="48">
        <f>SUM(D5:I5)</f>
        <v/>
      </c>
      <c r="K5" s="62">
        <f>J5</f>
        <v/>
      </c>
    </row>
    <row r="6" ht="15" customHeight="1" s="38">
      <c r="A6" s="63" t="inlineStr">
        <is>
          <t>9/20</t>
        </is>
      </c>
      <c r="B6" s="64" t="inlineStr">
        <is>
          <t>일</t>
        </is>
      </c>
      <c r="C6" s="64" t="inlineStr">
        <is>
          <t>상하이 오전 → 트빌리시 19:00 도착</t>
        </is>
      </c>
      <c r="D6" s="54">
        <f>SUMIF(입장료!$A$4:$A$31,A6,입장료!$E$4:$E$31)</f>
        <v/>
      </c>
      <c r="E6" s="54" t="n">
        <v>20000</v>
      </c>
      <c r="F6" s="62" t="n">
        <v>15689</v>
      </c>
      <c r="G6" s="54" t="n">
        <v>0</v>
      </c>
      <c r="H6" s="54">
        <f>SUMIFS(교통상세!$G$5:$G$46,교통상세!$A$5:$A$46,A6,교통상세!$D$5:$D$46,"시외")</f>
        <v/>
      </c>
      <c r="I6" s="54">
        <f>SUMIFS(교통상세!$G$5:$G$46,교통상세!$A$5:$A$46,A6,교통상세!$D$5:$D$46,"시내")</f>
        <v/>
      </c>
      <c r="J6" s="48">
        <f>SUM(D6:I6)</f>
        <v/>
      </c>
      <c r="K6" s="62">
        <f>K5+J6</f>
        <v/>
      </c>
    </row>
    <row r="7" ht="15" customHeight="1" s="38">
      <c r="A7" s="63" t="inlineStr">
        <is>
          <t>9/21</t>
        </is>
      </c>
      <c r="B7" s="64" t="inlineStr">
        <is>
          <t>월</t>
        </is>
      </c>
      <c r="C7" s="64" t="inlineStr">
        <is>
          <t>트빌리시 — 구시가·나리칼라·유황온천 (월요일 휴관 회피)</t>
        </is>
      </c>
      <c r="D7" s="54">
        <f>SUMIF(입장료!$A$4:$A$31,A7,입장료!$E$4:$E$31)</f>
        <v/>
      </c>
      <c r="E7" s="54" t="n">
        <v>25000</v>
      </c>
      <c r="F7" s="62" t="n">
        <v>15689</v>
      </c>
      <c r="G7" s="54" t="n">
        <v>6000</v>
      </c>
      <c r="H7" s="54">
        <f>SUMIFS(교통상세!$G$5:$G$46,교통상세!$A$5:$A$46,A7,교통상세!$D$5:$D$46,"시외")</f>
        <v/>
      </c>
      <c r="I7" s="54">
        <f>SUMIFS(교통상세!$G$5:$G$46,교통상세!$A$5:$A$46,A7,교통상세!$D$5:$D$46,"시내")</f>
        <v/>
      </c>
      <c r="J7" s="48">
        <f>SUM(D7:I7)</f>
        <v/>
      </c>
      <c r="K7" s="62">
        <f>K6+J7</f>
        <v/>
      </c>
    </row>
    <row r="8" ht="15" customHeight="1" s="38">
      <c r="A8" s="63" t="inlineStr">
        <is>
          <t>9/22</t>
        </is>
      </c>
      <c r="B8" s="64" t="inlineStr">
        <is>
          <t>화</t>
        </is>
      </c>
      <c r="C8" s="64" t="inlineStr">
        <is>
          <t>트빌리시 — 므츠헤타 반나절 · 오후 국립박물관</t>
        </is>
      </c>
      <c r="D8" s="54">
        <f>SUMIF(입장료!$A$4:$A$31,A8,입장료!$E$4:$E$31)</f>
        <v/>
      </c>
      <c r="E8" s="54" t="n">
        <v>25000</v>
      </c>
      <c r="F8" s="62" t="n">
        <v>15689</v>
      </c>
      <c r="G8" s="54" t="n">
        <v>6000</v>
      </c>
      <c r="H8" s="54">
        <f>SUMIFS(교통상세!$G$5:$G$46,교통상세!$A$5:$A$46,A8,교통상세!$D$5:$D$46,"시외")</f>
        <v/>
      </c>
      <c r="I8" s="54">
        <f>SUMIFS(교통상세!$G$5:$G$46,교통상세!$A$5:$A$46,A8,교통상세!$D$5:$D$46,"시내")</f>
        <v/>
      </c>
      <c r="J8" s="48">
        <f>SUM(D8:I8)</f>
        <v/>
      </c>
      <c r="K8" s="62">
        <f>K7+J8</f>
        <v/>
      </c>
    </row>
    <row r="9" ht="15" customHeight="1" s="38">
      <c r="A9" s="63" t="inlineStr">
        <is>
          <t>9/23</t>
        </is>
      </c>
      <c r="B9" s="64" t="inlineStr">
        <is>
          <t>수</t>
        </is>
      </c>
      <c r="C9" s="64" t="inlineStr">
        <is>
          <t>카즈베기 — 군사도로 · 게르게티 1차 (2박 중 첫날)</t>
        </is>
      </c>
      <c r="D9" s="54">
        <f>SUMIF(입장료!$A$4:$A$31,A9,입장료!$E$4:$E$31)</f>
        <v/>
      </c>
      <c r="E9" s="54" t="n">
        <v>25000</v>
      </c>
      <c r="F9" s="54" t="n">
        <v>28000</v>
      </c>
      <c r="G9" s="54" t="n">
        <v>5000</v>
      </c>
      <c r="H9" s="54">
        <f>SUMIFS(교통상세!$G$5:$G$46,교통상세!$A$5:$A$46,A9,교통상세!$D$5:$D$46,"시외")</f>
        <v/>
      </c>
      <c r="I9" s="54">
        <f>SUMIFS(교통상세!$G$5:$G$46,교통상세!$A$5:$A$46,A9,교통상세!$D$5:$D$46,"시내")</f>
        <v/>
      </c>
      <c r="J9" s="48">
        <f>SUM(D9:I9)</f>
        <v/>
      </c>
      <c r="K9" s="62">
        <f>K8+J9</f>
        <v/>
      </c>
    </row>
    <row r="10" ht="15" customHeight="1" s="38">
      <c r="A10" s="63" t="inlineStr">
        <is>
          <t>9/24</t>
        </is>
      </c>
      <c r="B10" s="64" t="inlineStr">
        <is>
          <t>목</t>
        </is>
      </c>
      <c r="C10" s="64" t="inlineStr">
        <is>
          <t>카즈베기 — 주타 트레킹 · 게르게티 예비 시도</t>
        </is>
      </c>
      <c r="D10" s="54">
        <f>SUMIF(입장료!$A$4:$A$31,A10,입장료!$E$4:$E$31)</f>
        <v/>
      </c>
      <c r="E10" s="54" t="n">
        <v>25000</v>
      </c>
      <c r="F10" s="54" t="n">
        <v>28000</v>
      </c>
      <c r="G10" s="54" t="n">
        <v>5000</v>
      </c>
      <c r="H10" s="54">
        <f>SUMIFS(교통상세!$G$5:$G$46,교통상세!$A$5:$A$46,A10,교통상세!$D$5:$D$46,"시외")</f>
        <v/>
      </c>
      <c r="I10" s="54">
        <f>SUMIFS(교통상세!$G$5:$G$46,교통상세!$A$5:$A$46,A10,교통상세!$D$5:$D$46,"시내")</f>
        <v/>
      </c>
      <c r="J10" s="48">
        <f>SUM(D10:I10)</f>
        <v/>
      </c>
      <c r="K10" s="62">
        <f>K9+J10</f>
        <v/>
      </c>
    </row>
    <row r="11" ht="15" customHeight="1" s="38">
      <c r="A11" s="63" t="inlineStr">
        <is>
          <t>9/25</t>
        </is>
      </c>
      <c r="B11" s="64" t="inlineStr">
        <is>
          <t>금</t>
        </is>
      </c>
      <c r="C11" s="64" t="inlineStr">
        <is>
          <t>카즈베기 오전 예비 → 트빌리시 복귀</t>
        </is>
      </c>
      <c r="D11" s="54">
        <f>SUMIF(입장료!$A$4:$A$31,A11,입장료!$E$4:$E$31)</f>
        <v/>
      </c>
      <c r="E11" s="54" t="n">
        <v>25000</v>
      </c>
      <c r="F11" s="54" t="n">
        <v>15689</v>
      </c>
      <c r="G11" s="54" t="n">
        <v>5000</v>
      </c>
      <c r="H11" s="54">
        <f>SUMIFS(교통상세!$G$5:$G$46,교통상세!$A$5:$A$46,A11,교통상세!$D$5:$D$46,"시외")</f>
        <v/>
      </c>
      <c r="I11" s="54">
        <f>SUMIFS(교통상세!$G$5:$G$46,교통상세!$A$5:$A$46,A11,교통상세!$D$5:$D$46,"시내")</f>
        <v/>
      </c>
      <c r="J11" s="48">
        <f>SUM(D11:I11)</f>
        <v/>
      </c>
      <c r="K11" s="62">
        <f>K10+J11</f>
        <v/>
      </c>
    </row>
    <row r="12" ht="15" customHeight="1" s="38">
      <c r="A12" s="65" t="inlineStr">
        <is>
          <t>9/26</t>
        </is>
      </c>
      <c r="B12" s="66" t="inlineStr">
        <is>
          <t>토</t>
        </is>
      </c>
      <c r="C12" s="66" t="inlineStr">
        <is>
          <t>시그나기 · 보드베 당일 왕복 (카헤티)</t>
        </is>
      </c>
      <c r="D12" s="54">
        <f>SUMIF(입장료!$A$4:$A$31,A12,입장료!$E$4:$E$31)</f>
        <v/>
      </c>
      <c r="E12" s="54" t="n">
        <v>25000</v>
      </c>
      <c r="F12" s="54" t="n">
        <v>15689</v>
      </c>
      <c r="G12" s="54" t="n">
        <v>5000</v>
      </c>
      <c r="H12" s="54">
        <f>SUMIFS(교통상세!$G$5:$G$46,교통상세!$A$5:$A$46,A12,교통상세!$D$5:$D$46,"시외")</f>
        <v/>
      </c>
      <c r="I12" s="54">
        <f>SUMIFS(교통상세!$G$5:$G$46,교통상세!$A$5:$A$46,A12,교통상세!$D$5:$D$46,"시내")</f>
        <v/>
      </c>
      <c r="J12" s="48">
        <f>SUM(D12:I12)</f>
        <v/>
      </c>
      <c r="K12" s="62">
        <f>K11+J12</f>
        <v/>
      </c>
    </row>
    <row r="13" ht="15" customHeight="1" s="38">
      <c r="A13" s="65" t="inlineStr">
        <is>
          <t>9/27</t>
        </is>
      </c>
      <c r="B13" s="66" t="inlineStr">
        <is>
          <t>일</t>
        </is>
      </c>
      <c r="C13" s="66" t="inlineStr">
        <is>
          <t>국경 → 알라베르디 (하흐파트·사나힌)</t>
        </is>
      </c>
      <c r="D13" s="54">
        <f>SUMIF(입장료!$A$4:$A$31,A13,입장료!$E$4:$E$31)</f>
        <v/>
      </c>
      <c r="E13" s="54" t="n">
        <v>25000</v>
      </c>
      <c r="F13" s="54" t="n">
        <v>25000</v>
      </c>
      <c r="G13" s="54" t="n">
        <v>5000</v>
      </c>
      <c r="H13" s="54">
        <f>SUMIFS(교통상세!$G$5:$G$46,교통상세!$A$5:$A$46,A13,교통상세!$D$5:$D$46,"시외")</f>
        <v/>
      </c>
      <c r="I13" s="54">
        <f>SUMIFS(교통상세!$G$5:$G$46,교통상세!$A$5:$A$46,A13,교통상세!$D$5:$D$46,"시내")</f>
        <v/>
      </c>
      <c r="J13" s="48">
        <f>SUM(D13:I13)</f>
        <v/>
      </c>
      <c r="K13" s="62">
        <f>K12+J13</f>
        <v/>
      </c>
    </row>
    <row r="14" ht="15" customHeight="1" s="38">
      <c r="A14" s="65" t="inlineStr">
        <is>
          <t>9/28</t>
        </is>
      </c>
      <c r="B14" s="66" t="inlineStr">
        <is>
          <t>월</t>
        </is>
      </c>
      <c r="C14" s="66" t="inlineStr">
        <is>
          <t>알라베르디 → 딜리잔 (하가르친·샤람베얀 거리)</t>
        </is>
      </c>
      <c r="D14" s="54">
        <f>SUMIF(입장료!$A$4:$A$31,A14,입장료!$E$4:$E$31)</f>
        <v/>
      </c>
      <c r="E14" s="54" t="n">
        <v>25000</v>
      </c>
      <c r="F14" s="54" t="n">
        <v>22000</v>
      </c>
      <c r="G14" s="54" t="n">
        <v>5000</v>
      </c>
      <c r="H14" s="54">
        <f>SUMIFS(교통상세!$G$5:$G$46,교통상세!$A$5:$A$46,A14,교통상세!$D$5:$D$46,"시외")</f>
        <v/>
      </c>
      <c r="I14" s="54">
        <f>SUMIFS(교통상세!$G$5:$G$46,교통상세!$A$5:$A$46,A14,교통상세!$D$5:$D$46,"시내")</f>
        <v/>
      </c>
      <c r="J14" s="48">
        <f>SUM(D14:I14)</f>
        <v/>
      </c>
      <c r="K14" s="62">
        <f>K13+J14</f>
        <v/>
      </c>
    </row>
    <row r="15" ht="15" customHeight="1" s="38">
      <c r="A15" s="65" t="inlineStr">
        <is>
          <t>9/29</t>
        </is>
      </c>
      <c r="B15" s="66" t="inlineStr">
        <is>
          <t>화</t>
        </is>
      </c>
      <c r="C15" s="66" t="inlineStr">
        <is>
          <t>세반 호수(세바나방크) → 예레반 도착 · 4박 시작</t>
        </is>
      </c>
      <c r="D15" s="54">
        <f>SUMIF(입장료!$A$4:$A$31,A15,입장료!$E$4:$E$31)</f>
        <v/>
      </c>
      <c r="E15" s="54" t="n">
        <v>28000</v>
      </c>
      <c r="F15" s="54" t="n">
        <v>20000</v>
      </c>
      <c r="G15" s="54" t="n">
        <v>6000</v>
      </c>
      <c r="H15" s="54">
        <f>SUMIFS(교통상세!$G$5:$G$46,교통상세!$A$5:$A$46,A15,교통상세!$D$5:$D$46,"시외")</f>
        <v/>
      </c>
      <c r="I15" s="54">
        <f>SUMIFS(교통상세!$G$5:$G$46,교통상세!$A$5:$A$46,A15,교통상세!$D$5:$D$46,"시내")</f>
        <v/>
      </c>
      <c r="J15" s="48">
        <f>SUM(D15:I15)</f>
        <v/>
      </c>
      <c r="K15" s="62">
        <f>K14+J15</f>
        <v/>
      </c>
    </row>
    <row r="16" ht="15" customHeight="1" s="38">
      <c r="A16" s="65" t="inlineStr">
        <is>
          <t>9/30</t>
        </is>
      </c>
      <c r="B16" s="66" t="inlineStr">
        <is>
          <t>수</t>
        </is>
      </c>
      <c r="C16" s="66" t="inlineStr">
        <is>
          <t>예레반 — 타테브 1일 투어</t>
        </is>
      </c>
      <c r="D16" s="54">
        <f>SUMIF(입장료!$A$4:$A$31,A16,입장료!$E$4:$E$31)</f>
        <v/>
      </c>
      <c r="E16" s="54" t="n">
        <v>35000</v>
      </c>
      <c r="F16" s="54" t="n">
        <v>20000</v>
      </c>
      <c r="G16" s="54" t="n">
        <v>6000</v>
      </c>
      <c r="H16" s="54">
        <f>SUMIFS(교통상세!$G$5:$G$46,교통상세!$A$5:$A$46,A16,교통상세!$D$5:$D$46,"시외")</f>
        <v/>
      </c>
      <c r="I16" s="54">
        <f>SUMIFS(교통상세!$G$5:$G$46,교통상세!$A$5:$A$46,A16,교통상세!$D$5:$D$46,"시내")</f>
        <v/>
      </c>
      <c r="J16" s="48">
        <f>SUM(D16:I16)</f>
        <v/>
      </c>
      <c r="K16" s="62">
        <f>K15+J16</f>
        <v/>
      </c>
    </row>
    <row r="17" ht="15" customHeight="1" s="38">
      <c r="A17" s="65" t="inlineStr">
        <is>
          <t>10/1</t>
        </is>
      </c>
      <c r="B17" s="66" t="inlineStr">
        <is>
          <t>목</t>
        </is>
      </c>
      <c r="C17" s="66" t="inlineStr">
        <is>
          <t>예레반 — 가르니·게하르트</t>
        </is>
      </c>
      <c r="D17" s="54">
        <f>SUMIF(입장료!$A$4:$A$31,A17,입장료!$E$4:$E$31)</f>
        <v/>
      </c>
      <c r="E17" s="54" t="n">
        <v>30000</v>
      </c>
      <c r="F17" s="54" t="n">
        <v>20000</v>
      </c>
      <c r="G17" s="54" t="n">
        <v>5000</v>
      </c>
      <c r="H17" s="54">
        <f>SUMIFS(교통상세!$G$5:$G$46,교통상세!$A$5:$A$46,A17,교통상세!$D$5:$D$46,"시외")</f>
        <v/>
      </c>
      <c r="I17" s="54">
        <f>SUMIFS(교통상세!$G$5:$G$46,교통상세!$A$5:$A$46,A17,교통상세!$D$5:$D$46,"시내")</f>
        <v/>
      </c>
      <c r="J17" s="48">
        <f>SUM(D17:I17)</f>
        <v/>
      </c>
      <c r="K17" s="62">
        <f>K16+J17</f>
        <v/>
      </c>
    </row>
    <row r="18" ht="15" customHeight="1" s="38">
      <c r="A18" s="65" t="inlineStr">
        <is>
          <t>10/2</t>
        </is>
      </c>
      <c r="B18" s="66" t="inlineStr">
        <is>
          <t>금</t>
        </is>
      </c>
      <c r="C18" s="66" t="inlineStr">
        <is>
          <t>예레반 — 마테나다란·추모관·도심 (새벽 비행 전날)</t>
        </is>
      </c>
      <c r="D18" s="54">
        <f>SUMIF(입장료!$A$4:$A$31,A18,입장료!$E$4:$E$31)</f>
        <v/>
      </c>
      <c r="E18" s="54" t="n">
        <v>27000</v>
      </c>
      <c r="F18" s="54" t="n">
        <v>20000</v>
      </c>
      <c r="G18" s="54" t="n">
        <v>6000</v>
      </c>
      <c r="H18" s="54">
        <f>SUMIFS(교통상세!$G$5:$G$46,교통상세!$A$5:$A$46,A18,교통상세!$D$5:$D$46,"시외")</f>
        <v/>
      </c>
      <c r="I18" s="54">
        <f>SUMIFS(교통상세!$G$5:$G$46,교통상세!$A$5:$A$46,A18,교통상세!$D$5:$D$46,"시내")</f>
        <v/>
      </c>
      <c r="J18" s="48">
        <f>SUM(D18:I18)</f>
        <v/>
      </c>
      <c r="K18" s="62">
        <f>K17+J18</f>
        <v/>
      </c>
    </row>
    <row r="19" ht="15" customHeight="1" s="38">
      <c r="A19" s="67" t="inlineStr">
        <is>
          <t>10/3</t>
        </is>
      </c>
      <c r="B19" s="68" t="inlineStr">
        <is>
          <t>토</t>
        </is>
      </c>
      <c r="C19" s="68" t="inlineStr">
        <is>
          <t>아테네 — 종일 관광 (숙소 30유로 확정)</t>
        </is>
      </c>
      <c r="D19" s="54">
        <f>SUMIF(입장료!$A$4:$A$31,A19,입장료!$E$4:$E$31)</f>
        <v/>
      </c>
      <c r="E19" s="54" t="n">
        <v>45000</v>
      </c>
      <c r="F19" s="54" t="n">
        <v>49200</v>
      </c>
      <c r="G19" s="54" t="n">
        <v>8000</v>
      </c>
      <c r="H19" s="54">
        <f>SUMIFS(교통상세!$G$5:$G$46,교통상세!$A$5:$A$46,A19,교통상세!$D$5:$D$46,"시외")</f>
        <v/>
      </c>
      <c r="I19" s="54">
        <f>SUMIFS(교통상세!$G$5:$G$46,교통상세!$A$5:$A$46,A19,교통상세!$D$5:$D$46,"시내")</f>
        <v/>
      </c>
      <c r="J19" s="48">
        <f>SUM(D19:I19)</f>
        <v/>
      </c>
      <c r="K19" s="62">
        <f>K18+J19</f>
        <v/>
      </c>
    </row>
    <row r="20" ht="15" customHeight="1" s="38">
      <c r="A20" s="69" t="inlineStr">
        <is>
          <t>10/4</t>
        </is>
      </c>
      <c r="B20" s="70" t="inlineStr">
        <is>
          <t>일</t>
        </is>
      </c>
      <c r="C20" s="70" t="inlineStr">
        <is>
          <t>아부다비 — 루브르·그랜드 모스크 (TRYP, 숙박 항공권 포함)</t>
        </is>
      </c>
      <c r="D20" s="54">
        <f>SUMIF(입장료!$A$4:$A$31,A20,입장료!$E$4:$E$31)</f>
        <v/>
      </c>
      <c r="E20" s="54" t="n">
        <v>55000</v>
      </c>
      <c r="F20" s="54" t="n">
        <v>0</v>
      </c>
      <c r="G20" s="54" t="n">
        <v>8000</v>
      </c>
      <c r="H20" s="54">
        <f>SUMIFS(교통상세!$G$5:$G$46,교통상세!$A$5:$A$46,A20,교통상세!$D$5:$D$46,"시외")</f>
        <v/>
      </c>
      <c r="I20" s="54">
        <f>SUMIFS(교통상세!$G$5:$G$46,교통상세!$A$5:$A$46,A20,교통상세!$D$5:$D$46,"시내")</f>
        <v/>
      </c>
      <c r="J20" s="48">
        <f>SUM(D20:I20)</f>
        <v/>
      </c>
      <c r="K20" s="62">
        <f>K19+J20</f>
        <v/>
      </c>
    </row>
    <row r="21" ht="15" customHeight="1" s="38">
      <c r="A21" s="69" t="inlineStr">
        <is>
          <t>10/5</t>
        </is>
      </c>
      <c r="B21" s="70" t="inlineStr">
        <is>
          <t>월</t>
        </is>
      </c>
      <c r="C21" s="70" t="inlineStr">
        <is>
          <t>아부다비 → 인천 (08:35 출발) · 새벽 A2 버스</t>
        </is>
      </c>
      <c r="D21" s="54">
        <f>SUMIF(입장료!$A$4:$A$31,A21,입장료!$E$4:$E$31)</f>
        <v/>
      </c>
      <c r="E21" s="54" t="n">
        <v>15000</v>
      </c>
      <c r="F21" s="54" t="n">
        <v>0</v>
      </c>
      <c r="G21" s="54" t="n">
        <v>0</v>
      </c>
      <c r="H21" s="54">
        <f>SUMIFS(교통상세!$G$5:$G$46,교통상세!$A$5:$A$46,A21,교통상세!$D$5:$D$46,"시외")</f>
        <v/>
      </c>
      <c r="I21" s="54">
        <f>SUMIFS(교통상세!$G$5:$G$46,교통상세!$A$5:$A$46,A21,교통상세!$D$5:$D$46,"시내")</f>
        <v/>
      </c>
      <c r="J21" s="48">
        <f>SUM(D21:I21)</f>
        <v/>
      </c>
      <c r="K21" s="62">
        <f>K20+J21</f>
        <v/>
      </c>
    </row>
    <row r="22" ht="15" customHeight="1" s="38">
      <c r="A22" s="56" t="inlineStr">
        <is>
          <t>합계</t>
        </is>
      </c>
      <c r="B22" s="57" t="n"/>
      <c r="C22" s="57" t="n"/>
      <c r="D22" s="58">
        <f>SUM(D5:D21)</f>
        <v/>
      </c>
      <c r="E22" s="58">
        <f>SUM(E5:E21)</f>
        <v/>
      </c>
      <c r="F22" s="58">
        <f>SUM(F5:F21)</f>
        <v/>
      </c>
      <c r="G22" s="58">
        <f>SUM(G5:G21)</f>
        <v/>
      </c>
      <c r="H22" s="58">
        <f>SUM(H5:H21)</f>
        <v/>
      </c>
      <c r="I22" s="58">
        <f>SUM(I5:I21)</f>
        <v/>
      </c>
      <c r="J22" s="58">
        <f>SUM(J5:J21)</f>
        <v/>
      </c>
      <c r="K22" s="71" t="n"/>
    </row>
    <row r="23" ht="15.75" customHeight="1" s="38"/>
    <row r="24" ht="15" customHeight="1" s="38">
      <c r="A24" s="39" t="inlineStr">
        <is>
          <t>총예산 점검</t>
        </is>
      </c>
    </row>
    <row r="25" ht="15" customHeight="1" s="38">
      <c r="A25" s="41" t="inlineStr">
        <is>
          <t>현지 지출 합계</t>
        </is>
      </c>
      <c r="B25" s="48">
        <f>J22</f>
        <v/>
      </c>
    </row>
    <row r="26" ht="15" customHeight="1" s="38">
      <c r="A26" s="41" t="inlineStr">
        <is>
          <t>항공권</t>
        </is>
      </c>
      <c r="B26" s="72">
        <f>환율!B13</f>
        <v/>
      </c>
    </row>
    <row r="27" ht="15" customHeight="1" s="38">
      <c r="A27" s="73" t="inlineStr">
        <is>
          <t>소계</t>
        </is>
      </c>
      <c r="B27" s="48">
        <f>B25+B26</f>
        <v/>
      </c>
    </row>
    <row r="28" ht="15" customHeight="1" s="38">
      <c r="A28" s="41" t="inlineStr">
        <is>
          <t>총예산 (1인)</t>
        </is>
      </c>
      <c r="B28" s="72">
        <f>환율!B14</f>
        <v/>
      </c>
    </row>
    <row r="29" ht="15" customHeight="1" s="38">
      <c r="A29" s="73" t="inlineStr">
        <is>
          <t>잔여 여유분</t>
        </is>
      </c>
      <c r="B29" s="48">
        <f>B28-B27</f>
        <v/>
      </c>
    </row>
    <row r="30" ht="15" customHeight="1" s="38"/>
    <row r="31" ht="15" customHeight="1" s="38">
      <c r="A31" s="49" t="inlineStr">
        <is>
          <t>※ 여행자보험·유심(중국은 로밍 권장 / 조지아·아르메니아·그리스·UAE 각각)·기념품·와인 구매 등은 별도 고려하세요.</t>
        </is>
      </c>
    </row>
    <row r="32" ht="15" customHeight="1" s="38">
      <c r="A32" s="49" t="inlineStr">
        <is>
          <t>※ 확정 숙소 — 상하이 Hi Cozy International Youth Hostel 137위안/1박(황푸구, 난징둥루역 도보권), 트빌리시 Cosy Koala Hostel 58라리. 트빌리시는 9/20~22 3박과 9/25~26 2박으로 나뉩니다 — 같은 곳을 두 번 잡으면 카즈베기 다녀오는 동안 짐을 맡길 수 있습니다.</t>
        </is>
      </c>
    </row>
    <row r="33" ht="16.5" customHeight="1" s="38">
      <c r="A33" s="50" t="inlineStr">
        <is>
          <t>※ 미예약 숙소(카즈베기 2박·알라베르디·딜리잔·예레반 4박)는 도미토리 기준 추정치입니다. 개인실을 잡으면 1인 여행이라 이 금액의 두 배 가까이 올라갑니다.</t>
        </is>
      </c>
    </row>
    <row r="34">
      <c r="A34" s="37" t="inlineStr">
        <is>
          <t>※ 아테네 숙소는 30유로/1박 확정 — 신타그마 근처. 08:00 짐 보관이 가능한 곳이어야 합니다(아크로폴리스 큰 가방 반입 불가).</t>
        </is>
      </c>
    </row>
    <row r="35">
      <c r="A35" s="37" t="inlineStr">
        <is>
          <t>※ 아부다비 숙소는 TRYP by Wyndham Abu Dhabi City Center(칼리파 bin 자이드 St) — 항공권 스톱오버에 포함되어 숙박비 0원. A2 공항버스가 이 도로에 정차합니다.</t>
        </is>
      </c>
    </row>
    <row r="36">
      <c r="A36" t="inlineStr">
        <is>
          <t>※ 9/24 주타는 대중교통이 없어 4WD 택시 왕복 80라리(1인 전액)로, 지상 구간 단일 최대 지출입니다. 카즈베기 게스트하우스에서 동행을 구하면 40라리로 줄어듭니다.</t>
        </is>
      </c>
    </row>
    <row r="37">
      <c r="A37" t="inlineStr">
        <is>
          <t>※ 카즈베기를 2박으로 늘리면서 숙박이 하루 늘었습니다(약 2만 8천원). 게르게티를 못 보고 내려올 위험을 그 값에 산 셈입니다.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2026-08-06T16:18:53Z</dcterms:created>
  <dcterms:modified xmlns:dcterms="http://purl.org/dc/terms/" xmlns:xsi="http://www.w3.org/2001/XMLSchema-instance" xsi:type="dcterms:W3CDTF">2026-09-08T08:50:35Z</dcterms:modified>
  <cp:revision>0</cp:revision>
</cp:coreProperties>
</file>